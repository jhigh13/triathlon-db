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high\Projects\triathlon-db\proj_pod\proj_pod\"/>
    </mc:Choice>
  </mc:AlternateContent>
  <xr:revisionPtr revIDLastSave="0" documentId="8_{3055DC24-D206-4B40-9536-2946158EB4A4}" xr6:coauthVersionLast="47" xr6:coauthVersionMax="47" xr10:uidLastSave="{00000000-0000-0000-0000-000000000000}"/>
  <bookViews>
    <workbookView xWindow="3105" yWindow="2370" windowWidth="28800" windowHeight="15345" xr2:uid="{00000000-000D-0000-FFFF-FFFF00000000}"/>
  </bookViews>
  <sheets>
    <sheet name="5x200,5x100" sheetId="1" r:id="rId1"/>
  </sheets>
  <definedNames>
    <definedName name="_xlnm._FilterDatabase" localSheetId="0" hidden="1">'5x200,5x100'!$B$3:$AH$10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L3" i="1" s="1"/>
  <c r="M3" i="1" s="1"/>
  <c r="D3" i="1"/>
  <c r="E3" i="1" s="1"/>
  <c r="F3" i="1" s="1"/>
  <c r="G3" i="1" s="1"/>
  <c r="AH12" i="1"/>
</calcChain>
</file>

<file path=xl/sharedStrings.xml><?xml version="1.0" encoding="utf-8"?>
<sst xmlns="http://schemas.openxmlformats.org/spreadsheetml/2006/main" count="70" uniqueCount="63">
  <si>
    <t>Name</t>
  </si>
  <si>
    <t>Lap 19 (sec)</t>
  </si>
  <si>
    <t>Blake</t>
  </si>
  <si>
    <t>02:29.1</t>
  </si>
  <si>
    <t>02:31.3</t>
  </si>
  <si>
    <t>02:22.4</t>
  </si>
  <si>
    <t>01:10.1</t>
  </si>
  <si>
    <t>01:10.2</t>
  </si>
  <si>
    <t>01:11.8</t>
  </si>
  <si>
    <t>01:11.7</t>
  </si>
  <si>
    <t>01:10.4</t>
  </si>
  <si>
    <t>Jimme</t>
  </si>
  <si>
    <t>02:35.8</t>
  </si>
  <si>
    <t>02:35.0</t>
  </si>
  <si>
    <t>02:32.6</t>
  </si>
  <si>
    <t>02:33.5</t>
  </si>
  <si>
    <t>02:33.2</t>
  </si>
  <si>
    <t>01:12.4</t>
  </si>
  <si>
    <t>01:12.5</t>
  </si>
  <si>
    <t>01:40.0</t>
  </si>
  <si>
    <t>01:09.3</t>
  </si>
  <si>
    <t>Keller</t>
  </si>
  <si>
    <t>02:25.3</t>
  </si>
  <si>
    <t>02:49.3</t>
  </si>
  <si>
    <t>02:49.9</t>
  </si>
  <si>
    <t>02:24.1</t>
  </si>
  <si>
    <t>02:24.2</t>
  </si>
  <si>
    <t>01:08.8</t>
  </si>
  <si>
    <t>01:07.3</t>
  </si>
  <si>
    <t>01:07.8</t>
  </si>
  <si>
    <t>01:07.9</t>
  </si>
  <si>
    <t>Mathis</t>
  </si>
  <si>
    <t>02:21.9</t>
  </si>
  <si>
    <t>02:20.7</t>
  </si>
  <si>
    <t>02:48.5</t>
  </si>
  <si>
    <t>02:19.0</t>
  </si>
  <si>
    <t>02:19.5</t>
  </si>
  <si>
    <t>01:06.7</t>
  </si>
  <si>
    <t>01:06.0</t>
  </si>
  <si>
    <t>01:06.1</t>
  </si>
  <si>
    <t>01:05.9</t>
  </si>
  <si>
    <t>Porter</t>
  </si>
  <si>
    <t>02:34.7</t>
  </si>
  <si>
    <t>02:32.7</t>
  </si>
  <si>
    <t>02:31.9</t>
  </si>
  <si>
    <t>02:31.4</t>
  </si>
  <si>
    <t>02:28.9</t>
  </si>
  <si>
    <t>01:09.6</t>
  </si>
  <si>
    <t>01:39.9</t>
  </si>
  <si>
    <t>01:09.9</t>
  </si>
  <si>
    <t>Reese</t>
  </si>
  <si>
    <t>02:19.8</t>
  </si>
  <si>
    <t>02:19.2</t>
  </si>
  <si>
    <t>02:49.8</t>
  </si>
  <si>
    <t>02:19.3</t>
  </si>
  <si>
    <t>01:06.9</t>
  </si>
  <si>
    <t>01:05.8</t>
  </si>
  <si>
    <t>01:05.7</t>
  </si>
  <si>
    <t>01:04.3</t>
  </si>
  <si>
    <t>02:52.8 (messed up time)</t>
  </si>
  <si>
    <t>02:16.0 (messed up time)</t>
  </si>
  <si>
    <t>200's</t>
  </si>
  <si>
    <t>100's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</si>
</sst>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2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5" x14ac:dyDescent="0.25"/>
  <cols>
    <col min="1" max="1" width="2.7109375" customWidth="1"/>
    <col min="2" max="2" width="13" customWidth="1"/>
    <col min="3" max="7" width="14" customWidth="1"/>
    <col min="8" max="8" width="2.7109375" customWidth="1"/>
    <col min="9" max="9" width="14" customWidth="1"/>
    <col min="10" max="15" width="15" customWidth="1"/>
    <col min="16" max="34" width="20" customWidth="1"/>
  </cols>
  <sheetData>
    <row r="1" spans="2:34" ht="3" customHeight="1" x14ac:dyDescent="0.25"/>
    <row r="2" spans="2:34" x14ac:dyDescent="0.25">
      <c r="C2" s="3" t="s">
        <v>61</v>
      </c>
      <c r="D2" s="3"/>
      <c r="E2" s="3"/>
      <c r="F2" s="3"/>
      <c r="G2" s="3"/>
      <c r="I2" s="3" t="s">
        <v>62</v>
      </c>
      <c r="J2" s="3"/>
      <c r="K2" s="3"/>
      <c r="L2" s="3"/>
      <c r="M2" s="3"/>
    </row>
    <row r="3" spans="2:34" x14ac:dyDescent="0.25">
      <c r="B3" s="2" t="s">
        <v>0</v>
      </c>
      <c r="C3" s="2">
        <v>1</v>
      </c>
      <c r="D3" s="2">
        <f>C3+1</f>
        <v>2</v>
      </c>
      <c r="E3" s="2">
        <f>D3+1</f>
        <v>3</v>
      </c>
      <c r="F3" s="2">
        <f t="shared" ref="F3:G3" si="0">E3+1</f>
        <v>4</v>
      </c>
      <c r="G3" s="2">
        <f t="shared" si="0"/>
        <v>5</v>
      </c>
      <c r="H3" s="2"/>
      <c r="I3" s="2">
        <v>1</v>
      </c>
      <c r="J3" s="2">
        <f>I3+1</f>
        <v>2</v>
      </c>
      <c r="K3" s="2">
        <f>J3+1</f>
        <v>3</v>
      </c>
      <c r="L3" s="2">
        <f t="shared" ref="L3:M3" si="1">K3+1</f>
        <v>4</v>
      </c>
      <c r="M3" s="2">
        <f t="shared" si="1"/>
        <v>5</v>
      </c>
      <c r="AH3" s="1" t="s">
        <v>1</v>
      </c>
    </row>
    <row r="4" spans="2:34" x14ac:dyDescent="0.25">
      <c r="B4" t="s">
        <v>2</v>
      </c>
      <c r="C4" t="s">
        <v>3</v>
      </c>
      <c r="D4" t="s">
        <v>4</v>
      </c>
      <c r="E4" s="4" t="s">
        <v>59</v>
      </c>
      <c r="F4" s="4" t="s">
        <v>60</v>
      </c>
      <c r="G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AH4">
        <v>3.0241930484771729</v>
      </c>
    </row>
    <row r="5" spans="2:34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I5" t="s">
        <v>7</v>
      </c>
      <c r="J5" t="s">
        <v>17</v>
      </c>
      <c r="K5" t="s">
        <v>18</v>
      </c>
      <c r="L5" s="4" t="s">
        <v>19</v>
      </c>
      <c r="M5" t="s">
        <v>20</v>
      </c>
      <c r="AH5">
        <v>7.2041049003601074</v>
      </c>
    </row>
    <row r="6" spans="2:34" x14ac:dyDescent="0.25">
      <c r="B6" t="s">
        <v>21</v>
      </c>
      <c r="C6" t="s">
        <v>22</v>
      </c>
      <c r="D6" t="s">
        <v>23</v>
      </c>
      <c r="E6" s="4" t="s">
        <v>24</v>
      </c>
      <c r="F6" t="s">
        <v>25</v>
      </c>
      <c r="G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20</v>
      </c>
    </row>
    <row r="7" spans="2:34" x14ac:dyDescent="0.25">
      <c r="B7" t="s">
        <v>31</v>
      </c>
      <c r="C7" t="s">
        <v>32</v>
      </c>
      <c r="D7" t="s">
        <v>33</v>
      </c>
      <c r="E7" s="4" t="s">
        <v>34</v>
      </c>
      <c r="F7" t="s">
        <v>35</v>
      </c>
      <c r="G7" t="s">
        <v>36</v>
      </c>
      <c r="I7" t="s">
        <v>37</v>
      </c>
      <c r="J7" t="s">
        <v>38</v>
      </c>
      <c r="K7" t="s">
        <v>37</v>
      </c>
      <c r="L7" t="s">
        <v>39</v>
      </c>
      <c r="M7" t="s">
        <v>40</v>
      </c>
      <c r="AH7">
        <v>13.69651210308075</v>
      </c>
    </row>
    <row r="8" spans="2:34" x14ac:dyDescent="0.25"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I8" t="s">
        <v>47</v>
      </c>
      <c r="J8" t="s">
        <v>9</v>
      </c>
      <c r="K8" t="s">
        <v>17</v>
      </c>
      <c r="L8" s="4" t="s">
        <v>48</v>
      </c>
      <c r="M8" t="s">
        <v>49</v>
      </c>
      <c r="AH8">
        <v>5.9758110046386719</v>
      </c>
    </row>
    <row r="9" spans="2:34" x14ac:dyDescent="0.25">
      <c r="B9" t="s">
        <v>50</v>
      </c>
      <c r="C9" t="s">
        <v>51</v>
      </c>
      <c r="D9" t="s">
        <v>52</v>
      </c>
      <c r="E9" s="4" t="s">
        <v>53</v>
      </c>
      <c r="F9" t="s">
        <v>35</v>
      </c>
      <c r="G9" t="s">
        <v>54</v>
      </c>
      <c r="I9" t="s">
        <v>55</v>
      </c>
      <c r="J9" t="s">
        <v>56</v>
      </c>
      <c r="K9" t="s">
        <v>56</v>
      </c>
      <c r="L9" t="s">
        <v>57</v>
      </c>
      <c r="M9" t="s">
        <v>58</v>
      </c>
      <c r="AH9">
        <v>14.445865988731381</v>
      </c>
    </row>
    <row r="12" spans="2:34" x14ac:dyDescent="0.25">
      <c r="AH12">
        <f>SUM($P4:AH4)</f>
        <v>3.0241930484771729</v>
      </c>
    </row>
  </sheetData>
  <mergeCells count="2">
    <mergeCell ref="C2:G2"/>
    <mergeCell ref="I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5x200,5x100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High</cp:lastModifiedBy>
  <dcterms:created xsi:type="dcterms:W3CDTF">2026-02-11T17:07:38Z</dcterms:created>
  <dcterms:modified xsi:type="dcterms:W3CDTF">2026-02-11T19:00:16Z</dcterms:modified>
</cp:coreProperties>
</file>