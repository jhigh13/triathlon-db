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hnk\VSCode\triathlon-db\tri_analysis\outputs\"/>
    </mc:Choice>
  </mc:AlternateContent>
  <xr:revisionPtr revIDLastSave="0" documentId="13_ncr:1_{DF21511B-CEF4-4143-8D76-A0A9E14A3E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a_medal_detail" sheetId="1" r:id="rId1"/>
    <sheet name="usa_medal_by_category" sheetId="2" r:id="rId2"/>
    <sheet name="usa_medal_by_host" sheetId="3" r:id="rId3"/>
    <sheet name="countries_per_usa_athlete" sheetId="4" r:id="rId4"/>
    <sheet name="countries_total_usa" sheetId="5" r:id="rId5"/>
    <sheet name="usa_medal_tally" sheetId="7" r:id="rId6"/>
    <sheet name="usa_podium_conversion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" i="7" l="1"/>
  <c r="D150" i="7"/>
  <c r="E150" i="7"/>
  <c r="F150" i="7"/>
  <c r="B150" i="7"/>
  <c r="C27" i="3"/>
  <c r="D27" i="3"/>
  <c r="E27" i="3"/>
  <c r="B27" i="3"/>
  <c r="C17" i="2"/>
  <c r="D17" i="2"/>
  <c r="E17" i="2"/>
  <c r="B17" i="2"/>
  <c r="B16" i="2" a="1"/>
  <c r="B16" i="2" s="1"/>
  <c r="C14" i="2"/>
  <c r="D14" i="2"/>
  <c r="E14" i="2"/>
  <c r="B14" i="2"/>
  <c r="C3" i="1" a="1"/>
  <c r="C3" i="1" s="1"/>
  <c r="D3" i="1" s="1"/>
  <c r="D4" i="1" l="1"/>
  <c r="D5" i="1"/>
  <c r="D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<sst xmlns="http://schemas.openxmlformats.org/spreadsheetml/2006/main" count="1253" uniqueCount="285">
  <si>
    <t>athlete_name</t>
  </si>
  <si>
    <t>position</t>
  </si>
  <si>
    <t>medal</t>
  </si>
  <si>
    <t>event_name</t>
  </si>
  <si>
    <t>event_country</t>
  </si>
  <si>
    <t>event_venue</t>
  </si>
  <si>
    <t>event_date</t>
  </si>
  <si>
    <t>race_category</t>
  </si>
  <si>
    <t>Morgan Pearson</t>
  </si>
  <si>
    <t>United States</t>
  </si>
  <si>
    <t>Silver</t>
  </si>
  <si>
    <t>2025 T100 Triathlon World Championship Final Qatar</t>
  </si>
  <si>
    <t>Qatar</t>
  </si>
  <si>
    <t>Lusail</t>
  </si>
  <si>
    <t>T100 Triathlon World Tour</t>
  </si>
  <si>
    <t>Zach Leachman</t>
  </si>
  <si>
    <t>Gold</t>
  </si>
  <si>
    <t>2025 Americas Triathlon Cup and Iberoamerican Championships Maldonado</t>
  </si>
  <si>
    <t>Uruguay</t>
  </si>
  <si>
    <t>Barra de Maldonado</t>
  </si>
  <si>
    <t>Regional Championships, Continental Cup</t>
  </si>
  <si>
    <t>Faith Duncan</t>
  </si>
  <si>
    <t>2025 Americas Triathlon Cup Manta</t>
  </si>
  <si>
    <t>Ecuador</t>
  </si>
  <si>
    <t>Malecón de Playa Murciélago</t>
  </si>
  <si>
    <t>Continental Cup</t>
  </si>
  <si>
    <t>2025 T100 Triathlon World Tour Dubai</t>
  </si>
  <si>
    <t>United Arab Emirates</t>
  </si>
  <si>
    <t>Dubai</t>
  </si>
  <si>
    <t>Jesus Moreno</t>
  </si>
  <si>
    <t>2025 World Triathlon Para Cup San Pedro de la Paz</t>
  </si>
  <si>
    <t>Chile</t>
  </si>
  <si>
    <t>Laguna Grande, San Pedro de la Paz</t>
  </si>
  <si>
    <t>World Para Cup</t>
  </si>
  <si>
    <t>Carter Stuhlmacher</t>
  </si>
  <si>
    <t>2025 Americas Triathlon Cup Vina del Mar</t>
  </si>
  <si>
    <t>Viña del Mar</t>
  </si>
  <si>
    <t>Blake Bullard</t>
  </si>
  <si>
    <t>Bronze</t>
  </si>
  <si>
    <t>2025 Americas Triathlon Cup Iquique</t>
  </si>
  <si>
    <t>Playa Cavancha</t>
  </si>
  <si>
    <t>Grace Norman</t>
  </si>
  <si>
    <t>2025 World Triathlon Para Championships Wollongong</t>
  </si>
  <si>
    <t>Australia</t>
  </si>
  <si>
    <t>Wollongong</t>
  </si>
  <si>
    <t>World Championships</t>
  </si>
  <si>
    <t>Chris Hammer</t>
  </si>
  <si>
    <t>Emelia Perry H1</t>
  </si>
  <si>
    <t>Hailey Danz</t>
  </si>
  <si>
    <t>Danielle Cummings</t>
  </si>
  <si>
    <t>Mohamed Lahna</t>
  </si>
  <si>
    <t>Katie McCune</t>
  </si>
  <si>
    <t>2025 Asia Triathlon Cup Yilan</t>
  </si>
  <si>
    <t>Chinese Taipei</t>
  </si>
  <si>
    <t>Yilan</t>
  </si>
  <si>
    <t>John Reed</t>
  </si>
  <si>
    <t>2025 World Triathlon Championship Series Weihai</t>
  </si>
  <si>
    <t>China</t>
  </si>
  <si>
    <t>Weihai</t>
  </si>
  <si>
    <t>World Championship Series</t>
  </si>
  <si>
    <t>Taylor Spivey</t>
  </si>
  <si>
    <t>2025 World Triathlon Championship Series Karlovy Vary</t>
  </si>
  <si>
    <t>Czech Republic</t>
  </si>
  <si>
    <t>Karlovy Vary</t>
  </si>
  <si>
    <t>Aaron Kamnetz H1</t>
  </si>
  <si>
    <t>2025 World Triathlon Para Cup Alhandra</t>
  </si>
  <si>
    <t>Portugal</t>
  </si>
  <si>
    <t>Alhandra</t>
  </si>
  <si>
    <t>Skyler Fisher H2</t>
  </si>
  <si>
    <t>Owen Cravens B3</t>
  </si>
  <si>
    <t>Naomi Ruff</t>
  </si>
  <si>
    <t>2025 Asuncion Junior Pan-American Games</t>
  </si>
  <si>
    <t>Paraguay</t>
  </si>
  <si>
    <t>Playa San José, Encarnación.</t>
  </si>
  <si>
    <t>Major Games</t>
  </si>
  <si>
    <t>Braxton Legg</t>
  </si>
  <si>
    <t>Isaac Lamprecht</t>
  </si>
  <si>
    <t>2025 Europe Triathlon Junior Cup Riga</t>
  </si>
  <si>
    <t>Latvia</t>
  </si>
  <si>
    <t>Riga</t>
  </si>
  <si>
    <t>Continental Junior Cup</t>
  </si>
  <si>
    <t>Keller Norland</t>
  </si>
  <si>
    <t>2025 Americas Triathlon Cup Kelowna</t>
  </si>
  <si>
    <t>Canada</t>
  </si>
  <si>
    <t>Kelowna City Park</t>
  </si>
  <si>
    <t>Reese Vannerson</t>
  </si>
  <si>
    <t>Joy Gill</t>
  </si>
  <si>
    <t>Taylor Knibb</t>
  </si>
  <si>
    <t>2025 T100 Triathlon World Tour London</t>
  </si>
  <si>
    <t>Great Britain</t>
  </si>
  <si>
    <t>London</t>
  </si>
  <si>
    <t>McClain Hermes B1</t>
  </si>
  <si>
    <t>2025 World Triathlon Para Cup Tata</t>
  </si>
  <si>
    <t>Hungary</t>
  </si>
  <si>
    <t>2025 World Triathlon Para Series Montreal</t>
  </si>
  <si>
    <t>Parc Jean-Drapeau</t>
  </si>
  <si>
    <t>World Para Series</t>
  </si>
  <si>
    <t>2025 Americas Triathlon Cup Montreal</t>
  </si>
  <si>
    <t>Hannah Longmire</t>
  </si>
  <si>
    <t>Allysa Seely</t>
  </si>
  <si>
    <t>Zachary Osborne</t>
  </si>
  <si>
    <t>Mark Barr</t>
  </si>
  <si>
    <t>Kendall Gretsch H2</t>
  </si>
  <si>
    <t>Howie Sanborn H1</t>
  </si>
  <si>
    <t>Rachel Watts</t>
  </si>
  <si>
    <t>2025 World Triathlon Para Cup Magog</t>
  </si>
  <si>
    <t>Magog</t>
  </si>
  <si>
    <t>2025 Americas Triathlon Cup Magog</t>
  </si>
  <si>
    <t>Porter Middaugh</t>
  </si>
  <si>
    <t>Danielle Orie</t>
  </si>
  <si>
    <t>2025 World Triathlon Cup Saidia</t>
  </si>
  <si>
    <t>Morocco</t>
  </si>
  <si>
    <t>Saïdia</t>
  </si>
  <si>
    <t>World Cup</t>
  </si>
  <si>
    <t>Erika Ackerlund</t>
  </si>
  <si>
    <t>2025 World Triathlon Cup Huatulco</t>
  </si>
  <si>
    <t>Mexico</t>
  </si>
  <si>
    <t>Bahía de Santa Cruz Huatulco</t>
  </si>
  <si>
    <t>2025 Europe Triathlon Junior Cup Holten</t>
  </si>
  <si>
    <t>Netherlands</t>
  </si>
  <si>
    <t>Holten</t>
  </si>
  <si>
    <t>Mia Wentzy</t>
  </si>
  <si>
    <t>2025 Europe Triathlon Junior Cup Wels</t>
  </si>
  <si>
    <t>Austria</t>
  </si>
  <si>
    <t>Wels</t>
  </si>
  <si>
    <t>2025 T100 Triathlon World Tour Vancouver</t>
  </si>
  <si>
    <t>Vancouver</t>
  </si>
  <si>
    <t>Jimena Renata De La Peña Schott</t>
  </si>
  <si>
    <t>2025 Americas Triathlon Championships Calima</t>
  </si>
  <si>
    <t>Colombia</t>
  </si>
  <si>
    <t>Mystic Paradise Calima</t>
  </si>
  <si>
    <t>Sullivan Middaugh</t>
  </si>
  <si>
    <t>2025 World Triathlon Para Series Taranto</t>
  </si>
  <si>
    <t>Italy</t>
  </si>
  <si>
    <t>Taranto</t>
  </si>
  <si>
    <t>Lucas Jundt</t>
  </si>
  <si>
    <t>2025 Americas Triathlon Para Championships Calima</t>
  </si>
  <si>
    <t>Mistic Paradyse, Darien Calima</t>
  </si>
  <si>
    <t>Continental Championships</t>
  </si>
  <si>
    <t>Kelly Elmlinger</t>
  </si>
  <si>
    <t>Michelle Dynes</t>
  </si>
  <si>
    <t>Kyle Stepp</t>
  </si>
  <si>
    <t>Ruth Pardy</t>
  </si>
  <si>
    <t>Gavin Pursley</t>
  </si>
  <si>
    <t>Justin Pines H1</t>
  </si>
  <si>
    <t>Deborah Chucoski B3</t>
  </si>
  <si>
    <t>Emma Meyers</t>
  </si>
  <si>
    <t>Luke Anthony</t>
  </si>
  <si>
    <t>2025 Americas Triathlon Cup Salinas</t>
  </si>
  <si>
    <t>SALINAS</t>
  </si>
  <si>
    <t>Michelle Magnani</t>
  </si>
  <si>
    <t>2025 T100 Triathlon World Tour San Francisco</t>
  </si>
  <si>
    <t>San Francisco</t>
  </si>
  <si>
    <t>Chelsea Webber</t>
  </si>
  <si>
    <t>2025 World Triathlon Para Cup Samarkand</t>
  </si>
  <si>
    <t>Uzbekistan</t>
  </si>
  <si>
    <t>Samarkand</t>
  </si>
  <si>
    <t>2025 World Triathlon Para Series Yokohama</t>
  </si>
  <si>
    <t>Japan</t>
  </si>
  <si>
    <t>Yokohama</t>
  </si>
  <si>
    <t>Carson Clough</t>
  </si>
  <si>
    <t>2025 World Triathlon Cup Chengdu</t>
  </si>
  <si>
    <t>Chengdu</t>
  </si>
  <si>
    <t>2025 Americas Triathlon Cup and South Americas Triathlon Championships Santiago</t>
  </si>
  <si>
    <t>Piedra Roja, Colina</t>
  </si>
  <si>
    <t>Chase McQueen</t>
  </si>
  <si>
    <t>2025 Supertri E World Triathlon Championships London</t>
  </si>
  <si>
    <t>London Aquatics Centre in Queen Elizabeth Olympic Park</t>
  </si>
  <si>
    <t>Supertri E Finals, World Cup</t>
  </si>
  <si>
    <t>Gwen Jorgensen</t>
  </si>
  <si>
    <t>2025 Americas Triathlon Cup Miami</t>
  </si>
  <si>
    <t>Homestead Miami Speedway</t>
  </si>
  <si>
    <t>Darr Smith</t>
  </si>
  <si>
    <t>2025 Americas Triathlon Cup La Paz</t>
  </si>
  <si>
    <t>Kiosco del Malecon , La Paz B.C.S</t>
  </si>
  <si>
    <t>2025 World Triathlon Para Series Devonport</t>
  </si>
  <si>
    <t>Mersey Bluff</t>
  </si>
  <si>
    <t>2025 Americas Triathlon Cup La Habana</t>
  </si>
  <si>
    <t>Cuba</t>
  </si>
  <si>
    <t xml:space="preserve">Copa Américas de Triatlón </t>
  </si>
  <si>
    <t>2025 World Triathlon Para Cup Abu Dhabi</t>
  </si>
  <si>
    <t>Abu Dhabi</t>
  </si>
  <si>
    <t>golds</t>
  </si>
  <si>
    <t>silvers</t>
  </si>
  <si>
    <t>bronzes</t>
  </si>
  <si>
    <t>total_medals</t>
  </si>
  <si>
    <t>athlete_country</t>
  </si>
  <si>
    <t>countries_raced</t>
  </si>
  <si>
    <t>Caroline Theil</t>
  </si>
  <si>
    <t>Gina Sereno</t>
  </si>
  <si>
    <t>Seth Rider</t>
  </si>
  <si>
    <t>Britney Brown</t>
  </si>
  <si>
    <t>Cole Jamieson </t>
  </si>
  <si>
    <t>Eleanor Beveridge</t>
  </si>
  <si>
    <t>Gillian Cridge</t>
  </si>
  <si>
    <t>Jason West</t>
  </si>
  <si>
    <t>Kelly Wetteland</t>
  </si>
  <si>
    <t>Nathan F. Cohen</t>
  </si>
  <si>
    <t>Ellison Wolfe</t>
  </si>
  <si>
    <t>Grahm Gaydos</t>
  </si>
  <si>
    <t>Rachel Werking</t>
  </si>
  <si>
    <t>Sam Long</t>
  </si>
  <si>
    <t>Taylor Talbot B2</t>
  </si>
  <si>
    <t>Adam Janah</t>
  </si>
  <si>
    <t>Andrew Murray</t>
  </si>
  <si>
    <t>Ella Spitz</t>
  </si>
  <si>
    <t>Evan Mahrous</t>
  </si>
  <si>
    <t>Jackson Pratt</t>
  </si>
  <si>
    <t>Marc Dubrick</t>
  </si>
  <si>
    <t>Marley Andelman</t>
  </si>
  <si>
    <t>Matthew McGoey</t>
  </si>
  <si>
    <t>Michelle Stratton</t>
  </si>
  <si>
    <t>Ryan Luczak</t>
  </si>
  <si>
    <t>Virginia Ogburn</t>
  </si>
  <si>
    <t>Annie Fuller</t>
  </si>
  <si>
    <t>Annie Meeder</t>
  </si>
  <si>
    <t>Camille Buchanan</t>
  </si>
  <si>
    <t>Charlie Smoak</t>
  </si>
  <si>
    <t>Connor Oats</t>
  </si>
  <si>
    <t>Daniel Gossow</t>
  </si>
  <si>
    <t>Erica Szczechowski</t>
  </si>
  <si>
    <t>Faith Dasso</t>
  </si>
  <si>
    <t>Graham Hummel</t>
  </si>
  <si>
    <t>Hudson Hamilton</t>
  </si>
  <si>
    <t>Jackson Harrell</t>
  </si>
  <si>
    <t>Jake Adler</t>
  </si>
  <si>
    <t>Joseph Wilwerding</t>
  </si>
  <si>
    <t>Kirsten Kasper</t>
  </si>
  <si>
    <t>Laura Mathews</t>
  </si>
  <si>
    <t>Lisa Becharas</t>
  </si>
  <si>
    <t>Maddie Perkins</t>
  </si>
  <si>
    <t>Maya Reilly</t>
  </si>
  <si>
    <t>Melissa Funes</t>
  </si>
  <si>
    <t>Rachel Miller</t>
  </si>
  <si>
    <t>Sarah Plant</t>
  </si>
  <si>
    <t>Summer Rappaport</t>
  </si>
  <si>
    <t>Tamara Gorman</t>
  </si>
  <si>
    <t>Tyler Kovak</t>
  </si>
  <si>
    <t>William McElgunn</t>
  </si>
  <si>
    <t>Zach Winchester</t>
  </si>
  <si>
    <t>Alexander Urling</t>
  </si>
  <si>
    <t>Alexandra Poole</t>
  </si>
  <si>
    <t>Andie Psilopoulos</t>
  </si>
  <si>
    <t>Ava Pfaff</t>
  </si>
  <si>
    <t>Ben Fleming</t>
  </si>
  <si>
    <t>Brad Murray</t>
  </si>
  <si>
    <t>Cameron Manes</t>
  </si>
  <si>
    <t>Cavan Wilson</t>
  </si>
  <si>
    <t>Clare Dasso</t>
  </si>
  <si>
    <t>Colin Szuch</t>
  </si>
  <si>
    <t>Delaney Hammill</t>
  </si>
  <si>
    <t>Dylan Kirchner</t>
  </si>
  <si>
    <t>Emily Pincus</t>
  </si>
  <si>
    <t>Emma Elliott </t>
  </si>
  <si>
    <t>Ernest Mantell</t>
  </si>
  <si>
    <t>Foster Wilfong</t>
  </si>
  <si>
    <t>Gabriel Shreve</t>
  </si>
  <si>
    <t>Grace Alexander</t>
  </si>
  <si>
    <t>Grace Busch</t>
  </si>
  <si>
    <t>Griff Morgan</t>
  </si>
  <si>
    <t>Hannah Ye</t>
  </si>
  <si>
    <t>Hope Frost</t>
  </si>
  <si>
    <t>Ian King</t>
  </si>
  <si>
    <t>Jake Derouin</t>
  </si>
  <si>
    <t>Jenna Buchanan</t>
  </si>
  <si>
    <t>Johnathan Dolan</t>
  </si>
  <si>
    <t>Jorge Torres-Hinojoza</t>
  </si>
  <si>
    <t>Judson Schulz</t>
  </si>
  <si>
    <t>Justin Riele</t>
  </si>
  <si>
    <t>Liberty Ricca</t>
  </si>
  <si>
    <t>Madeline Gagnon</t>
  </si>
  <si>
    <t>Maren York</t>
  </si>
  <si>
    <t>Mark Romano</t>
  </si>
  <si>
    <t>Matteo Somma</t>
  </si>
  <si>
    <t>Mia Remorca</t>
  </si>
  <si>
    <t>Morgan O'Keefe</t>
  </si>
  <si>
    <t>Noah Shlesinger</t>
  </si>
  <si>
    <t>Owen Schessler</t>
  </si>
  <si>
    <t>Ryan Lund</t>
  </si>
  <si>
    <t>Valerie Palsgraf</t>
  </si>
  <si>
    <t>podiums</t>
  </si>
  <si>
    <t>starts</t>
  </si>
  <si>
    <t>podium_rate</t>
  </si>
  <si>
    <t>Total</t>
  </si>
  <si>
    <t>Medal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</si>
</sst>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5" xfId="0" applyBorder="1" applyAlignment="1">
      <alignment horizontal="left" indent="1"/>
    </xf>
    <xf numFmtId="0" fontId="0" fillId="0" borderId="6" xfId="0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9" fontId="0" fillId="0" borderId="0" xfId="1" applyFont="1"/>
    <xf numFmtId="0" fontId="0" fillId="3" borderId="0" xfId="0" applyFill="1"/>
    <xf numFmtId="9" fontId="0" fillId="3" borderId="0" xfId="1" applyFont="1" applyFill="1"/>
    <xf numFmtId="0" fontId="0" fillId="4" borderId="0" xfId="0" applyFill="1"/>
  </cellXfs>
  <cellStyles count="2">
    <cellStyle name="Normal" xfId="0" builtinId="0"/>
    <cellStyle name="Percent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C8D20-8FA0-45C7-B717-D20427F2CF16}" name="Table1" displayName="Table1" ref="A8:H118" totalsRowShown="0" headerRowDxfId="0" headerRowBorderDxfId="2" tableBorderDxfId="3">
  <autoFilter ref="A8:H118" xr:uid="{58EC8D20-8FA0-45C7-B717-D20427F2CF16}">
    <filterColumn colId="7">
      <filters>
        <filter val="Continental Championships"/>
        <filter val="Continental Championships, Age-Group Event"/>
      </filters>
    </filterColumn>
  </autoFilter>
  <tableColumns count="8">
    <tableColumn id="1" xr3:uid="{5A7694A6-635F-40B1-B5A5-7F66FF449BF7}" name="athlete_name"/>
    <tableColumn id="2" xr3:uid="{B7C83471-AAC0-4348-8241-D0CE55D2E47D}" name="position"/>
    <tableColumn id="3" xr3:uid="{65429736-8E9A-4F7D-9CD0-E7187DCA61A4}" name="medal"/>
    <tableColumn id="4" xr3:uid="{75EA8DFC-C028-4C4D-955C-1DDECCBA995C}" name="event_name"/>
    <tableColumn id="5" xr3:uid="{144AE75D-34A4-443D-BE79-0683175A7DB8}" name="event_country"/>
    <tableColumn id="6" xr3:uid="{C795C678-2D15-4AB7-ACC5-996C72BA1C57}" name="event_venue"/>
    <tableColumn id="7" xr3:uid="{DF67601F-8139-414C-80B1-BA10474D2252}" name="event_date" dataDxfId="1"/>
    <tableColumn id="8" xr3:uid="{50F92484-4922-4D7A-A9F0-0D357075DFB5}" name="race_catego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5" zoomScale="73" workbookViewId="0">
      <selection activeCell="B121" sqref="B121"/>
    </sheetView>
  </sheetViews>
  <sheetFormatPr defaultRowHeight="14.25" x14ac:dyDescent="0.45"/>
  <cols>
    <col min="1" max="1" width="27.06640625" bestFit="1" customWidth="1"/>
    <col min="2" max="2" width="9.265625" customWidth="1"/>
    <col min="3" max="3" width="7.6640625" customWidth="1"/>
    <col min="4" max="4" width="67.6640625" bestFit="1" customWidth="1"/>
    <col min="5" max="5" width="17.73046875" bestFit="1" customWidth="1"/>
    <col min="6" max="6" width="46" bestFit="1" customWidth="1"/>
    <col min="7" max="7" width="11.86328125" customWidth="1"/>
    <col min="8" max="8" width="36.86328125" bestFit="1" customWidth="1"/>
  </cols>
  <sheetData>
    <row r="1" spans="1:8" ht="14.65" thickBot="1" x14ac:dyDescent="0.5"/>
    <row r="2" spans="1:8" x14ac:dyDescent="0.45">
      <c r="C2" s="6" t="s">
        <v>284</v>
      </c>
      <c r="D2" s="7"/>
    </row>
    <row r="3" spans="1:8" x14ac:dyDescent="0.45">
      <c r="C3" s="4" t="str" cm="1">
        <f t="array" ref="C3:C5">_xlfn.UNIQUE(C10:C118)</f>
        <v>Gold</v>
      </c>
      <c r="D3" s="5">
        <f>COUNTIFS(Table1[medal],C3)</f>
        <v>36</v>
      </c>
    </row>
    <row r="4" spans="1:8" x14ac:dyDescent="0.45">
      <c r="C4" s="4" t="str">
        <v>Silver</v>
      </c>
      <c r="D4" s="5">
        <f>COUNTIFS(Table1[medal],C4)</f>
        <v>41</v>
      </c>
    </row>
    <row r="5" spans="1:8" x14ac:dyDescent="0.45">
      <c r="C5" s="4" t="str">
        <v>Bronze</v>
      </c>
      <c r="D5" s="5">
        <f>COUNTIFS(Table1[medal],C5)</f>
        <v>33</v>
      </c>
    </row>
    <row r="6" spans="1:8" ht="14.65" thickBot="1" x14ac:dyDescent="0.5">
      <c r="C6" s="8" t="s">
        <v>283</v>
      </c>
      <c r="D6" s="9">
        <f>SUM(D3:D5)</f>
        <v>110</v>
      </c>
    </row>
    <row r="8" spans="1:8" x14ac:dyDescent="0.45">
      <c r="A8" s="3" t="s">
        <v>0</v>
      </c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</row>
    <row r="9" spans="1:8" hidden="1" x14ac:dyDescent="0.45">
      <c r="A9" t="s">
        <v>8</v>
      </c>
      <c r="B9">
        <v>2</v>
      </c>
      <c r="C9" t="s">
        <v>10</v>
      </c>
      <c r="D9" t="s">
        <v>11</v>
      </c>
      <c r="E9" t="s">
        <v>12</v>
      </c>
      <c r="F9" t="s">
        <v>13</v>
      </c>
      <c r="G9" s="2">
        <v>46002</v>
      </c>
      <c r="H9" t="s">
        <v>14</v>
      </c>
    </row>
    <row r="10" spans="1:8" hidden="1" x14ac:dyDescent="0.45">
      <c r="A10" t="s">
        <v>15</v>
      </c>
      <c r="B10">
        <v>1</v>
      </c>
      <c r="C10" t="s">
        <v>16</v>
      </c>
      <c r="D10" t="s">
        <v>17</v>
      </c>
      <c r="E10" t="s">
        <v>18</v>
      </c>
      <c r="F10" t="s">
        <v>19</v>
      </c>
      <c r="G10" s="2">
        <v>45997</v>
      </c>
      <c r="H10" t="s">
        <v>20</v>
      </c>
    </row>
    <row r="11" spans="1:8" hidden="1" x14ac:dyDescent="0.45">
      <c r="A11" t="s">
        <v>21</v>
      </c>
      <c r="B11">
        <v>1</v>
      </c>
      <c r="C11" t="s">
        <v>16</v>
      </c>
      <c r="D11" t="s">
        <v>22</v>
      </c>
      <c r="E11" t="s">
        <v>23</v>
      </c>
      <c r="F11" t="s">
        <v>24</v>
      </c>
      <c r="G11" s="2">
        <v>45984</v>
      </c>
      <c r="H11" t="s">
        <v>25</v>
      </c>
    </row>
    <row r="12" spans="1:8" hidden="1" x14ac:dyDescent="0.45">
      <c r="A12" t="s">
        <v>8</v>
      </c>
      <c r="B12">
        <v>1</v>
      </c>
      <c r="C12" t="s">
        <v>16</v>
      </c>
      <c r="D12" t="s">
        <v>26</v>
      </c>
      <c r="E12" t="s">
        <v>27</v>
      </c>
      <c r="F12" t="s">
        <v>28</v>
      </c>
      <c r="G12" s="2">
        <v>45976</v>
      </c>
      <c r="H12" t="s">
        <v>14</v>
      </c>
    </row>
    <row r="13" spans="1:8" hidden="1" x14ac:dyDescent="0.45">
      <c r="A13" t="s">
        <v>29</v>
      </c>
      <c r="B13">
        <v>2</v>
      </c>
      <c r="C13" t="s">
        <v>10</v>
      </c>
      <c r="D13" t="s">
        <v>30</v>
      </c>
      <c r="E13" t="s">
        <v>31</v>
      </c>
      <c r="F13" t="s">
        <v>32</v>
      </c>
      <c r="G13" s="2">
        <v>45969</v>
      </c>
      <c r="H13" t="s">
        <v>33</v>
      </c>
    </row>
    <row r="14" spans="1:8" hidden="1" x14ac:dyDescent="0.45">
      <c r="A14" t="s">
        <v>34</v>
      </c>
      <c r="B14">
        <v>2</v>
      </c>
      <c r="C14" t="s">
        <v>10</v>
      </c>
      <c r="D14" t="s">
        <v>35</v>
      </c>
      <c r="E14" t="s">
        <v>31</v>
      </c>
      <c r="F14" t="s">
        <v>36</v>
      </c>
      <c r="G14" s="2">
        <v>45963</v>
      </c>
      <c r="H14" t="s">
        <v>25</v>
      </c>
    </row>
    <row r="15" spans="1:8" hidden="1" x14ac:dyDescent="0.45">
      <c r="A15" t="s">
        <v>37</v>
      </c>
      <c r="B15">
        <v>3</v>
      </c>
      <c r="C15" t="s">
        <v>38</v>
      </c>
      <c r="D15" t="s">
        <v>35</v>
      </c>
      <c r="E15" t="s">
        <v>31</v>
      </c>
      <c r="F15" t="s">
        <v>36</v>
      </c>
      <c r="G15" s="2">
        <v>45963</v>
      </c>
      <c r="H15" t="s">
        <v>25</v>
      </c>
    </row>
    <row r="16" spans="1:8" hidden="1" x14ac:dyDescent="0.45">
      <c r="A16" t="s">
        <v>37</v>
      </c>
      <c r="B16">
        <v>1</v>
      </c>
      <c r="C16" t="s">
        <v>16</v>
      </c>
      <c r="D16" t="s">
        <v>39</v>
      </c>
      <c r="E16" t="s">
        <v>31</v>
      </c>
      <c r="F16" t="s">
        <v>40</v>
      </c>
      <c r="G16" s="2">
        <v>45955</v>
      </c>
      <c r="H16" t="s">
        <v>25</v>
      </c>
    </row>
    <row r="17" spans="1:8" hidden="1" x14ac:dyDescent="0.45">
      <c r="A17" t="s">
        <v>41</v>
      </c>
      <c r="B17">
        <v>1</v>
      </c>
      <c r="C17" t="s">
        <v>16</v>
      </c>
      <c r="D17" t="s">
        <v>42</v>
      </c>
      <c r="E17" t="s">
        <v>43</v>
      </c>
      <c r="F17" t="s">
        <v>44</v>
      </c>
      <c r="G17" s="2">
        <v>45945</v>
      </c>
      <c r="H17" t="s">
        <v>45</v>
      </c>
    </row>
    <row r="18" spans="1:8" hidden="1" x14ac:dyDescent="0.45">
      <c r="A18" t="s">
        <v>46</v>
      </c>
      <c r="B18">
        <v>1</v>
      </c>
      <c r="C18" t="s">
        <v>16</v>
      </c>
      <c r="D18" t="s">
        <v>42</v>
      </c>
      <c r="E18" t="s">
        <v>43</v>
      </c>
      <c r="F18" t="s">
        <v>44</v>
      </c>
      <c r="G18" s="2">
        <v>45945</v>
      </c>
      <c r="H18" t="s">
        <v>45</v>
      </c>
    </row>
    <row r="19" spans="1:8" hidden="1" x14ac:dyDescent="0.45">
      <c r="A19" t="s">
        <v>47</v>
      </c>
      <c r="B19">
        <v>2</v>
      </c>
      <c r="C19" t="s">
        <v>10</v>
      </c>
      <c r="D19" t="s">
        <v>42</v>
      </c>
      <c r="E19" t="s">
        <v>43</v>
      </c>
      <c r="F19" t="s">
        <v>44</v>
      </c>
      <c r="G19" s="2">
        <v>45945</v>
      </c>
      <c r="H19" t="s">
        <v>45</v>
      </c>
    </row>
    <row r="20" spans="1:8" hidden="1" x14ac:dyDescent="0.45">
      <c r="A20" t="s">
        <v>48</v>
      </c>
      <c r="B20">
        <v>2</v>
      </c>
      <c r="C20" t="s">
        <v>10</v>
      </c>
      <c r="D20" t="s">
        <v>42</v>
      </c>
      <c r="E20" t="s">
        <v>43</v>
      </c>
      <c r="F20" t="s">
        <v>44</v>
      </c>
      <c r="G20" s="2">
        <v>45945</v>
      </c>
      <c r="H20" t="s">
        <v>45</v>
      </c>
    </row>
    <row r="21" spans="1:8" hidden="1" x14ac:dyDescent="0.45">
      <c r="A21" t="s">
        <v>49</v>
      </c>
      <c r="B21">
        <v>2</v>
      </c>
      <c r="C21" t="s">
        <v>10</v>
      </c>
      <c r="D21" t="s">
        <v>42</v>
      </c>
      <c r="E21" t="s">
        <v>43</v>
      </c>
      <c r="F21" t="s">
        <v>44</v>
      </c>
      <c r="G21" s="2">
        <v>45945</v>
      </c>
      <c r="H21" t="s">
        <v>45</v>
      </c>
    </row>
    <row r="22" spans="1:8" hidden="1" x14ac:dyDescent="0.45">
      <c r="A22" t="s">
        <v>50</v>
      </c>
      <c r="B22">
        <v>3</v>
      </c>
      <c r="C22" t="s">
        <v>38</v>
      </c>
      <c r="D22" t="s">
        <v>42</v>
      </c>
      <c r="E22" t="s">
        <v>43</v>
      </c>
      <c r="F22" t="s">
        <v>44</v>
      </c>
      <c r="G22" s="2">
        <v>45945</v>
      </c>
      <c r="H22" t="s">
        <v>45</v>
      </c>
    </row>
    <row r="23" spans="1:8" hidden="1" x14ac:dyDescent="0.45">
      <c r="A23" t="s">
        <v>51</v>
      </c>
      <c r="B23">
        <v>2</v>
      </c>
      <c r="C23" t="s">
        <v>10</v>
      </c>
      <c r="D23" t="s">
        <v>52</v>
      </c>
      <c r="E23" t="s">
        <v>53</v>
      </c>
      <c r="F23" t="s">
        <v>54</v>
      </c>
      <c r="G23" s="2">
        <v>45926</v>
      </c>
      <c r="H23" t="s">
        <v>25</v>
      </c>
    </row>
    <row r="24" spans="1:8" hidden="1" x14ac:dyDescent="0.45">
      <c r="A24" t="s">
        <v>55</v>
      </c>
      <c r="B24">
        <v>3</v>
      </c>
      <c r="C24" t="s">
        <v>38</v>
      </c>
      <c r="D24" t="s">
        <v>56</v>
      </c>
      <c r="E24" t="s">
        <v>57</v>
      </c>
      <c r="F24" t="s">
        <v>58</v>
      </c>
      <c r="G24" s="2">
        <v>45926</v>
      </c>
      <c r="H24" t="s">
        <v>59</v>
      </c>
    </row>
    <row r="25" spans="1:8" hidden="1" x14ac:dyDescent="0.45">
      <c r="A25" t="s">
        <v>60</v>
      </c>
      <c r="B25">
        <v>2</v>
      </c>
      <c r="C25" t="s">
        <v>10</v>
      </c>
      <c r="D25" t="s">
        <v>61</v>
      </c>
      <c r="E25" t="s">
        <v>62</v>
      </c>
      <c r="F25" t="s">
        <v>63</v>
      </c>
      <c r="G25" s="2">
        <v>45914</v>
      </c>
      <c r="H25" t="s">
        <v>59</v>
      </c>
    </row>
    <row r="26" spans="1:8" hidden="1" x14ac:dyDescent="0.45">
      <c r="A26" t="s">
        <v>64</v>
      </c>
      <c r="B26">
        <v>1</v>
      </c>
      <c r="C26" t="s">
        <v>16</v>
      </c>
      <c r="D26" t="s">
        <v>65</v>
      </c>
      <c r="E26" t="s">
        <v>66</v>
      </c>
      <c r="F26" t="s">
        <v>67</v>
      </c>
      <c r="G26" s="2">
        <v>45906</v>
      </c>
      <c r="H26" t="s">
        <v>33</v>
      </c>
    </row>
    <row r="27" spans="1:8" hidden="1" x14ac:dyDescent="0.45">
      <c r="A27" t="s">
        <v>49</v>
      </c>
      <c r="B27">
        <v>2</v>
      </c>
      <c r="C27" t="s">
        <v>10</v>
      </c>
      <c r="D27" t="s">
        <v>65</v>
      </c>
      <c r="E27" t="s">
        <v>66</v>
      </c>
      <c r="F27" t="s">
        <v>67</v>
      </c>
      <c r="G27" s="2">
        <v>45906</v>
      </c>
      <c r="H27" t="s">
        <v>33</v>
      </c>
    </row>
    <row r="28" spans="1:8" hidden="1" x14ac:dyDescent="0.45">
      <c r="A28" t="s">
        <v>68</v>
      </c>
      <c r="B28">
        <v>2</v>
      </c>
      <c r="C28" t="s">
        <v>10</v>
      </c>
      <c r="D28" t="s">
        <v>65</v>
      </c>
      <c r="E28" t="s">
        <v>66</v>
      </c>
      <c r="F28" t="s">
        <v>67</v>
      </c>
      <c r="G28" s="2">
        <v>45906</v>
      </c>
      <c r="H28" t="s">
        <v>33</v>
      </c>
    </row>
    <row r="29" spans="1:8" hidden="1" x14ac:dyDescent="0.45">
      <c r="A29" t="s">
        <v>69</v>
      </c>
      <c r="B29">
        <v>3</v>
      </c>
      <c r="C29" t="s">
        <v>38</v>
      </c>
      <c r="D29" t="s">
        <v>65</v>
      </c>
      <c r="E29" t="s">
        <v>66</v>
      </c>
      <c r="F29" t="s">
        <v>67</v>
      </c>
      <c r="G29" s="2">
        <v>45906</v>
      </c>
      <c r="H29" t="s">
        <v>33</v>
      </c>
    </row>
    <row r="30" spans="1:8" hidden="1" x14ac:dyDescent="0.45">
      <c r="A30" t="s">
        <v>70</v>
      </c>
      <c r="B30">
        <v>1</v>
      </c>
      <c r="C30" t="s">
        <v>16</v>
      </c>
      <c r="D30" t="s">
        <v>71</v>
      </c>
      <c r="E30" t="s">
        <v>72</v>
      </c>
      <c r="F30" t="s">
        <v>73</v>
      </c>
      <c r="G30" s="2">
        <v>45889</v>
      </c>
      <c r="H30" t="s">
        <v>74</v>
      </c>
    </row>
    <row r="31" spans="1:8" hidden="1" x14ac:dyDescent="0.45">
      <c r="A31" t="s">
        <v>75</v>
      </c>
      <c r="B31">
        <v>1</v>
      </c>
      <c r="C31" t="s">
        <v>16</v>
      </c>
      <c r="D31" t="s">
        <v>71</v>
      </c>
      <c r="E31" t="s">
        <v>72</v>
      </c>
      <c r="F31" t="s">
        <v>73</v>
      </c>
      <c r="G31" s="2">
        <v>45889</v>
      </c>
      <c r="H31" t="s">
        <v>74</v>
      </c>
    </row>
    <row r="32" spans="1:8" hidden="1" x14ac:dyDescent="0.45">
      <c r="A32" t="s">
        <v>37</v>
      </c>
      <c r="B32">
        <v>2</v>
      </c>
      <c r="C32" t="s">
        <v>10</v>
      </c>
      <c r="D32" t="s">
        <v>71</v>
      </c>
      <c r="E32" t="s">
        <v>72</v>
      </c>
      <c r="F32" t="s">
        <v>73</v>
      </c>
      <c r="G32" s="2">
        <v>45889</v>
      </c>
      <c r="H32" t="s">
        <v>74</v>
      </c>
    </row>
    <row r="33" spans="1:8" hidden="1" x14ac:dyDescent="0.45">
      <c r="A33" t="s">
        <v>76</v>
      </c>
      <c r="B33">
        <v>2</v>
      </c>
      <c r="C33" t="s">
        <v>10</v>
      </c>
      <c r="D33" t="s">
        <v>77</v>
      </c>
      <c r="E33" t="s">
        <v>78</v>
      </c>
      <c r="F33" t="s">
        <v>79</v>
      </c>
      <c r="G33" s="2">
        <v>45885</v>
      </c>
      <c r="H33" t="s">
        <v>80</v>
      </c>
    </row>
    <row r="34" spans="1:8" hidden="1" x14ac:dyDescent="0.45">
      <c r="A34" t="s">
        <v>81</v>
      </c>
      <c r="B34">
        <v>1</v>
      </c>
      <c r="C34" t="s">
        <v>16</v>
      </c>
      <c r="D34" t="s">
        <v>82</v>
      </c>
      <c r="E34" t="s">
        <v>83</v>
      </c>
      <c r="F34" t="s">
        <v>84</v>
      </c>
      <c r="G34" s="2">
        <v>45878</v>
      </c>
      <c r="H34" t="s">
        <v>25</v>
      </c>
    </row>
    <row r="35" spans="1:8" hidden="1" x14ac:dyDescent="0.45">
      <c r="A35" t="s">
        <v>85</v>
      </c>
      <c r="B35">
        <v>2</v>
      </c>
      <c r="C35" t="s">
        <v>10</v>
      </c>
      <c r="D35" t="s">
        <v>82</v>
      </c>
      <c r="E35" t="s">
        <v>83</v>
      </c>
      <c r="F35" t="s">
        <v>84</v>
      </c>
      <c r="G35" s="2">
        <v>45878</v>
      </c>
      <c r="H35" t="s">
        <v>25</v>
      </c>
    </row>
    <row r="36" spans="1:8" hidden="1" x14ac:dyDescent="0.45">
      <c r="A36" t="s">
        <v>86</v>
      </c>
      <c r="B36">
        <v>3</v>
      </c>
      <c r="C36" t="s">
        <v>38</v>
      </c>
      <c r="D36" t="s">
        <v>82</v>
      </c>
      <c r="E36" t="s">
        <v>83</v>
      </c>
      <c r="F36" t="s">
        <v>84</v>
      </c>
      <c r="G36" s="2">
        <v>45878</v>
      </c>
      <c r="H36" t="s">
        <v>25</v>
      </c>
    </row>
    <row r="37" spans="1:8" hidden="1" x14ac:dyDescent="0.45">
      <c r="A37" t="s">
        <v>87</v>
      </c>
      <c r="B37">
        <v>3</v>
      </c>
      <c r="C37" t="s">
        <v>38</v>
      </c>
      <c r="D37" t="s">
        <v>88</v>
      </c>
      <c r="E37" t="s">
        <v>89</v>
      </c>
      <c r="F37" t="s">
        <v>90</v>
      </c>
      <c r="G37" s="2">
        <v>45878</v>
      </c>
      <c r="H37" t="s">
        <v>14</v>
      </c>
    </row>
    <row r="38" spans="1:8" hidden="1" x14ac:dyDescent="0.45">
      <c r="A38" t="s">
        <v>91</v>
      </c>
      <c r="B38">
        <v>1</v>
      </c>
      <c r="C38" t="s">
        <v>16</v>
      </c>
      <c r="D38" t="s">
        <v>92</v>
      </c>
      <c r="E38" t="s">
        <v>93</v>
      </c>
      <c r="G38" s="2">
        <v>45857</v>
      </c>
      <c r="H38" t="s">
        <v>33</v>
      </c>
    </row>
    <row r="39" spans="1:8" hidden="1" x14ac:dyDescent="0.45">
      <c r="A39" t="s">
        <v>41</v>
      </c>
      <c r="B39">
        <v>1</v>
      </c>
      <c r="C39" t="s">
        <v>16</v>
      </c>
      <c r="D39" t="s">
        <v>94</v>
      </c>
      <c r="E39" t="s">
        <v>83</v>
      </c>
      <c r="F39" t="s">
        <v>95</v>
      </c>
      <c r="G39" s="2">
        <v>45857</v>
      </c>
      <c r="H39" t="s">
        <v>96</v>
      </c>
    </row>
    <row r="40" spans="1:8" hidden="1" x14ac:dyDescent="0.45">
      <c r="A40" t="s">
        <v>70</v>
      </c>
      <c r="B40">
        <v>2</v>
      </c>
      <c r="C40" t="s">
        <v>10</v>
      </c>
      <c r="D40" t="s">
        <v>97</v>
      </c>
      <c r="E40" t="s">
        <v>83</v>
      </c>
      <c r="F40" t="s">
        <v>95</v>
      </c>
      <c r="G40" s="2">
        <v>45857</v>
      </c>
      <c r="H40" t="s">
        <v>25</v>
      </c>
    </row>
    <row r="41" spans="1:8" hidden="1" x14ac:dyDescent="0.45">
      <c r="A41" t="s">
        <v>8</v>
      </c>
      <c r="B41">
        <v>2</v>
      </c>
      <c r="C41" t="s">
        <v>10</v>
      </c>
      <c r="D41" t="s">
        <v>97</v>
      </c>
      <c r="E41" t="s">
        <v>83</v>
      </c>
      <c r="F41" t="s">
        <v>95</v>
      </c>
      <c r="G41" s="2">
        <v>45857</v>
      </c>
      <c r="H41" t="s">
        <v>25</v>
      </c>
    </row>
    <row r="42" spans="1:8" hidden="1" x14ac:dyDescent="0.45">
      <c r="A42" t="s">
        <v>64</v>
      </c>
      <c r="B42">
        <v>2</v>
      </c>
      <c r="C42" t="s">
        <v>10</v>
      </c>
      <c r="D42" t="s">
        <v>92</v>
      </c>
      <c r="E42" t="s">
        <v>93</v>
      </c>
      <c r="G42" s="2">
        <v>45857</v>
      </c>
      <c r="H42" t="s">
        <v>33</v>
      </c>
    </row>
    <row r="43" spans="1:8" hidden="1" x14ac:dyDescent="0.45">
      <c r="A43" t="s">
        <v>98</v>
      </c>
      <c r="B43">
        <v>2</v>
      </c>
      <c r="C43" t="s">
        <v>10</v>
      </c>
      <c r="D43" t="s">
        <v>94</v>
      </c>
      <c r="E43" t="s">
        <v>83</v>
      </c>
      <c r="F43" t="s">
        <v>95</v>
      </c>
      <c r="G43" s="2">
        <v>45857</v>
      </c>
      <c r="H43" t="s">
        <v>96</v>
      </c>
    </row>
    <row r="44" spans="1:8" hidden="1" x14ac:dyDescent="0.45">
      <c r="A44" t="s">
        <v>99</v>
      </c>
      <c r="B44">
        <v>2</v>
      </c>
      <c r="C44" t="s">
        <v>10</v>
      </c>
      <c r="D44" t="s">
        <v>94</v>
      </c>
      <c r="E44" t="s">
        <v>83</v>
      </c>
      <c r="F44" t="s">
        <v>95</v>
      </c>
      <c r="G44" s="2">
        <v>45857</v>
      </c>
      <c r="H44" t="s">
        <v>96</v>
      </c>
    </row>
    <row r="45" spans="1:8" hidden="1" x14ac:dyDescent="0.45">
      <c r="A45" t="s">
        <v>47</v>
      </c>
      <c r="B45">
        <v>2</v>
      </c>
      <c r="C45" t="s">
        <v>10</v>
      </c>
      <c r="D45" t="s">
        <v>94</v>
      </c>
      <c r="E45" t="s">
        <v>83</v>
      </c>
      <c r="F45" t="s">
        <v>95</v>
      </c>
      <c r="G45" s="2">
        <v>45857</v>
      </c>
      <c r="H45" t="s">
        <v>96</v>
      </c>
    </row>
    <row r="46" spans="1:8" hidden="1" x14ac:dyDescent="0.45">
      <c r="A46" t="s">
        <v>50</v>
      </c>
      <c r="B46">
        <v>2</v>
      </c>
      <c r="C46" t="s">
        <v>10</v>
      </c>
      <c r="D46" t="s">
        <v>94</v>
      </c>
      <c r="E46" t="s">
        <v>83</v>
      </c>
      <c r="F46" t="s">
        <v>95</v>
      </c>
      <c r="G46" s="2">
        <v>45857</v>
      </c>
      <c r="H46" t="s">
        <v>96</v>
      </c>
    </row>
    <row r="47" spans="1:8" hidden="1" x14ac:dyDescent="0.45">
      <c r="A47" t="s">
        <v>100</v>
      </c>
      <c r="B47">
        <v>3</v>
      </c>
      <c r="C47" t="s">
        <v>38</v>
      </c>
      <c r="D47" t="s">
        <v>94</v>
      </c>
      <c r="E47" t="s">
        <v>83</v>
      </c>
      <c r="F47" t="s">
        <v>95</v>
      </c>
      <c r="G47" s="2">
        <v>45857</v>
      </c>
      <c r="H47" t="s">
        <v>96</v>
      </c>
    </row>
    <row r="48" spans="1:8" hidden="1" x14ac:dyDescent="0.45">
      <c r="A48" t="s">
        <v>75</v>
      </c>
      <c r="B48">
        <v>3</v>
      </c>
      <c r="C48" t="s">
        <v>38</v>
      </c>
      <c r="D48" t="s">
        <v>97</v>
      </c>
      <c r="E48" t="s">
        <v>83</v>
      </c>
      <c r="F48" t="s">
        <v>95</v>
      </c>
      <c r="G48" s="2">
        <v>45857</v>
      </c>
      <c r="H48" t="s">
        <v>25</v>
      </c>
    </row>
    <row r="49" spans="1:8" hidden="1" x14ac:dyDescent="0.45">
      <c r="A49" t="s">
        <v>101</v>
      </c>
      <c r="B49">
        <v>3</v>
      </c>
      <c r="C49" t="s">
        <v>38</v>
      </c>
      <c r="D49" t="s">
        <v>94</v>
      </c>
      <c r="E49" t="s">
        <v>83</v>
      </c>
      <c r="F49" t="s">
        <v>95</v>
      </c>
      <c r="G49" s="2">
        <v>45857</v>
      </c>
      <c r="H49" t="s">
        <v>96</v>
      </c>
    </row>
    <row r="50" spans="1:8" hidden="1" x14ac:dyDescent="0.45">
      <c r="A50" t="s">
        <v>102</v>
      </c>
      <c r="B50">
        <v>3</v>
      </c>
      <c r="C50" t="s">
        <v>38</v>
      </c>
      <c r="D50" t="s">
        <v>94</v>
      </c>
      <c r="E50" t="s">
        <v>83</v>
      </c>
      <c r="F50" t="s">
        <v>95</v>
      </c>
      <c r="G50" s="2">
        <v>45857</v>
      </c>
      <c r="H50" t="s">
        <v>96</v>
      </c>
    </row>
    <row r="51" spans="1:8" hidden="1" x14ac:dyDescent="0.45">
      <c r="A51" t="s">
        <v>103</v>
      </c>
      <c r="B51">
        <v>3</v>
      </c>
      <c r="C51" t="s">
        <v>38</v>
      </c>
      <c r="D51" t="s">
        <v>94</v>
      </c>
      <c r="E51" t="s">
        <v>83</v>
      </c>
      <c r="F51" t="s">
        <v>95</v>
      </c>
      <c r="G51" s="2">
        <v>45857</v>
      </c>
      <c r="H51" t="s">
        <v>96</v>
      </c>
    </row>
    <row r="52" spans="1:8" hidden="1" x14ac:dyDescent="0.45">
      <c r="A52" t="s">
        <v>104</v>
      </c>
      <c r="B52">
        <v>3</v>
      </c>
      <c r="C52" t="s">
        <v>38</v>
      </c>
      <c r="D52" t="s">
        <v>94</v>
      </c>
      <c r="E52" t="s">
        <v>83</v>
      </c>
      <c r="F52" t="s">
        <v>95</v>
      </c>
      <c r="G52" s="2">
        <v>45857</v>
      </c>
      <c r="H52" t="s">
        <v>96</v>
      </c>
    </row>
    <row r="53" spans="1:8" hidden="1" x14ac:dyDescent="0.45">
      <c r="A53" t="s">
        <v>46</v>
      </c>
      <c r="B53">
        <v>3</v>
      </c>
      <c r="C53" t="s">
        <v>38</v>
      </c>
      <c r="D53" t="s">
        <v>94</v>
      </c>
      <c r="E53" t="s">
        <v>83</v>
      </c>
      <c r="F53" t="s">
        <v>95</v>
      </c>
      <c r="G53" s="2">
        <v>45857</v>
      </c>
      <c r="H53" t="s">
        <v>96</v>
      </c>
    </row>
    <row r="54" spans="1:8" hidden="1" x14ac:dyDescent="0.45">
      <c r="A54" t="s">
        <v>46</v>
      </c>
      <c r="B54">
        <v>1</v>
      </c>
      <c r="C54" t="s">
        <v>16</v>
      </c>
      <c r="D54" t="s">
        <v>105</v>
      </c>
      <c r="E54" t="s">
        <v>83</v>
      </c>
      <c r="F54" t="s">
        <v>106</v>
      </c>
      <c r="G54" s="2">
        <v>45850</v>
      </c>
      <c r="H54" t="s">
        <v>33</v>
      </c>
    </row>
    <row r="55" spans="1:8" hidden="1" x14ac:dyDescent="0.45">
      <c r="A55" t="s">
        <v>86</v>
      </c>
      <c r="B55">
        <v>1</v>
      </c>
      <c r="C55" t="s">
        <v>16</v>
      </c>
      <c r="D55" t="s">
        <v>107</v>
      </c>
      <c r="E55" t="s">
        <v>83</v>
      </c>
      <c r="F55" t="s">
        <v>106</v>
      </c>
      <c r="G55" s="2">
        <v>45850</v>
      </c>
      <c r="H55" t="s">
        <v>25</v>
      </c>
    </row>
    <row r="56" spans="1:8" hidden="1" x14ac:dyDescent="0.45">
      <c r="A56" t="s">
        <v>108</v>
      </c>
      <c r="B56">
        <v>1</v>
      </c>
      <c r="C56" t="s">
        <v>16</v>
      </c>
      <c r="D56" t="s">
        <v>107</v>
      </c>
      <c r="E56" t="s">
        <v>83</v>
      </c>
      <c r="F56" t="s">
        <v>106</v>
      </c>
      <c r="G56" s="2">
        <v>45850</v>
      </c>
      <c r="H56" t="s">
        <v>25</v>
      </c>
    </row>
    <row r="57" spans="1:8" hidden="1" x14ac:dyDescent="0.45">
      <c r="A57" t="s">
        <v>41</v>
      </c>
      <c r="B57">
        <v>1</v>
      </c>
      <c r="C57" t="s">
        <v>16</v>
      </c>
      <c r="D57" t="s">
        <v>105</v>
      </c>
      <c r="E57" t="s">
        <v>83</v>
      </c>
      <c r="F57" t="s">
        <v>106</v>
      </c>
      <c r="G57" s="2">
        <v>45850</v>
      </c>
      <c r="H57" t="s">
        <v>33</v>
      </c>
    </row>
    <row r="58" spans="1:8" hidden="1" x14ac:dyDescent="0.45">
      <c r="A58" t="s">
        <v>99</v>
      </c>
      <c r="B58">
        <v>1</v>
      </c>
      <c r="C58" t="s">
        <v>16</v>
      </c>
      <c r="D58" t="s">
        <v>105</v>
      </c>
      <c r="E58" t="s">
        <v>83</v>
      </c>
      <c r="F58" t="s">
        <v>106</v>
      </c>
      <c r="G58" s="2">
        <v>45850</v>
      </c>
      <c r="H58" t="s">
        <v>33</v>
      </c>
    </row>
    <row r="59" spans="1:8" hidden="1" x14ac:dyDescent="0.45">
      <c r="A59" t="s">
        <v>98</v>
      </c>
      <c r="B59">
        <v>2</v>
      </c>
      <c r="C59" t="s">
        <v>10</v>
      </c>
      <c r="D59" t="s">
        <v>105</v>
      </c>
      <c r="E59" t="s">
        <v>83</v>
      </c>
      <c r="F59" t="s">
        <v>106</v>
      </c>
      <c r="G59" s="2">
        <v>45850</v>
      </c>
      <c r="H59" t="s">
        <v>33</v>
      </c>
    </row>
    <row r="60" spans="1:8" hidden="1" x14ac:dyDescent="0.45">
      <c r="A60" t="s">
        <v>103</v>
      </c>
      <c r="B60">
        <v>2</v>
      </c>
      <c r="C60" t="s">
        <v>10</v>
      </c>
      <c r="D60" t="s">
        <v>105</v>
      </c>
      <c r="E60" t="s">
        <v>83</v>
      </c>
      <c r="F60" t="s">
        <v>106</v>
      </c>
      <c r="G60" s="2">
        <v>45850</v>
      </c>
      <c r="H60" t="s">
        <v>33</v>
      </c>
    </row>
    <row r="61" spans="1:8" hidden="1" x14ac:dyDescent="0.45">
      <c r="A61" t="s">
        <v>102</v>
      </c>
      <c r="B61">
        <v>2</v>
      </c>
      <c r="C61" t="s">
        <v>10</v>
      </c>
      <c r="D61" t="s">
        <v>105</v>
      </c>
      <c r="E61" t="s">
        <v>83</v>
      </c>
      <c r="F61" t="s">
        <v>106</v>
      </c>
      <c r="G61" s="2">
        <v>45850</v>
      </c>
      <c r="H61" t="s">
        <v>33</v>
      </c>
    </row>
    <row r="62" spans="1:8" hidden="1" x14ac:dyDescent="0.45">
      <c r="A62" t="s">
        <v>49</v>
      </c>
      <c r="B62">
        <v>2</v>
      </c>
      <c r="C62" t="s">
        <v>10</v>
      </c>
      <c r="D62" t="s">
        <v>105</v>
      </c>
      <c r="E62" t="s">
        <v>83</v>
      </c>
      <c r="F62" t="s">
        <v>106</v>
      </c>
      <c r="G62" s="2">
        <v>45850</v>
      </c>
      <c r="H62" t="s">
        <v>33</v>
      </c>
    </row>
    <row r="63" spans="1:8" hidden="1" x14ac:dyDescent="0.45">
      <c r="A63" t="s">
        <v>91</v>
      </c>
      <c r="B63">
        <v>3</v>
      </c>
      <c r="C63" t="s">
        <v>38</v>
      </c>
      <c r="D63" t="s">
        <v>105</v>
      </c>
      <c r="E63" t="s">
        <v>83</v>
      </c>
      <c r="F63" t="s">
        <v>106</v>
      </c>
      <c r="G63" s="2">
        <v>45850</v>
      </c>
      <c r="H63" t="s">
        <v>33</v>
      </c>
    </row>
    <row r="64" spans="1:8" hidden="1" x14ac:dyDescent="0.45">
      <c r="A64" t="s">
        <v>64</v>
      </c>
      <c r="B64">
        <v>3</v>
      </c>
      <c r="C64" t="s">
        <v>38</v>
      </c>
      <c r="D64" t="s">
        <v>105</v>
      </c>
      <c r="E64" t="s">
        <v>83</v>
      </c>
      <c r="F64" t="s">
        <v>106</v>
      </c>
      <c r="G64" s="2">
        <v>45850</v>
      </c>
      <c r="H64" t="s">
        <v>33</v>
      </c>
    </row>
    <row r="65" spans="1:8" hidden="1" x14ac:dyDescent="0.45">
      <c r="A65" t="s">
        <v>47</v>
      </c>
      <c r="B65">
        <v>3</v>
      </c>
      <c r="C65" t="s">
        <v>38</v>
      </c>
      <c r="D65" t="s">
        <v>105</v>
      </c>
      <c r="E65" t="s">
        <v>83</v>
      </c>
      <c r="F65" t="s">
        <v>106</v>
      </c>
      <c r="G65" s="2">
        <v>45850</v>
      </c>
      <c r="H65" t="s">
        <v>33</v>
      </c>
    </row>
    <row r="66" spans="1:8" hidden="1" x14ac:dyDescent="0.45">
      <c r="A66" t="s">
        <v>104</v>
      </c>
      <c r="B66">
        <v>3</v>
      </c>
      <c r="C66" t="s">
        <v>38</v>
      </c>
      <c r="D66" t="s">
        <v>105</v>
      </c>
      <c r="E66" t="s">
        <v>83</v>
      </c>
      <c r="F66" t="s">
        <v>106</v>
      </c>
      <c r="G66" s="2">
        <v>45850</v>
      </c>
      <c r="H66" t="s">
        <v>33</v>
      </c>
    </row>
    <row r="67" spans="1:8" hidden="1" x14ac:dyDescent="0.45">
      <c r="A67" t="s">
        <v>75</v>
      </c>
      <c r="B67">
        <v>3</v>
      </c>
      <c r="C67" t="s">
        <v>38</v>
      </c>
      <c r="D67" t="s">
        <v>107</v>
      </c>
      <c r="E67" t="s">
        <v>83</v>
      </c>
      <c r="F67" t="s">
        <v>106</v>
      </c>
      <c r="G67" s="2">
        <v>45850</v>
      </c>
      <c r="H67" t="s">
        <v>25</v>
      </c>
    </row>
    <row r="68" spans="1:8" hidden="1" x14ac:dyDescent="0.45">
      <c r="A68" t="s">
        <v>70</v>
      </c>
      <c r="B68">
        <v>3</v>
      </c>
      <c r="C68" t="s">
        <v>38</v>
      </c>
      <c r="D68" t="s">
        <v>107</v>
      </c>
      <c r="E68" t="s">
        <v>83</v>
      </c>
      <c r="F68" t="s">
        <v>106</v>
      </c>
      <c r="G68" s="2">
        <v>45850</v>
      </c>
      <c r="H68" t="s">
        <v>25</v>
      </c>
    </row>
    <row r="69" spans="1:8" hidden="1" x14ac:dyDescent="0.45">
      <c r="A69" t="s">
        <v>109</v>
      </c>
      <c r="B69">
        <v>2</v>
      </c>
      <c r="C69" t="s">
        <v>10</v>
      </c>
      <c r="D69" t="s">
        <v>110</v>
      </c>
      <c r="E69" t="s">
        <v>111</v>
      </c>
      <c r="F69" t="s">
        <v>112</v>
      </c>
      <c r="G69" s="2">
        <v>45837</v>
      </c>
      <c r="H69" t="s">
        <v>113</v>
      </c>
    </row>
    <row r="70" spans="1:8" hidden="1" x14ac:dyDescent="0.45">
      <c r="A70" t="s">
        <v>55</v>
      </c>
      <c r="B70">
        <v>3</v>
      </c>
      <c r="C70" t="s">
        <v>38</v>
      </c>
      <c r="D70" t="s">
        <v>110</v>
      </c>
      <c r="E70" t="s">
        <v>111</v>
      </c>
      <c r="F70" t="s">
        <v>112</v>
      </c>
      <c r="G70" s="2">
        <v>45837</v>
      </c>
      <c r="H70" t="s">
        <v>113</v>
      </c>
    </row>
    <row r="71" spans="1:8" hidden="1" x14ac:dyDescent="0.45">
      <c r="A71" t="s">
        <v>114</v>
      </c>
      <c r="B71">
        <v>2</v>
      </c>
      <c r="C71" t="s">
        <v>10</v>
      </c>
      <c r="D71" t="s">
        <v>115</v>
      </c>
      <c r="E71" t="s">
        <v>116</v>
      </c>
      <c r="F71" t="s">
        <v>117</v>
      </c>
      <c r="G71" s="2">
        <v>45830</v>
      </c>
      <c r="H71" t="s">
        <v>113</v>
      </c>
    </row>
    <row r="72" spans="1:8" hidden="1" x14ac:dyDescent="0.45">
      <c r="A72" t="s">
        <v>76</v>
      </c>
      <c r="B72">
        <v>2</v>
      </c>
      <c r="C72" t="s">
        <v>10</v>
      </c>
      <c r="D72" t="s">
        <v>118</v>
      </c>
      <c r="E72" t="s">
        <v>119</v>
      </c>
      <c r="F72" t="s">
        <v>120</v>
      </c>
      <c r="G72" s="2">
        <v>45829</v>
      </c>
      <c r="H72" t="s">
        <v>80</v>
      </c>
    </row>
    <row r="73" spans="1:8" hidden="1" x14ac:dyDescent="0.45">
      <c r="A73" t="s">
        <v>121</v>
      </c>
      <c r="B73">
        <v>2</v>
      </c>
      <c r="C73" t="s">
        <v>10</v>
      </c>
      <c r="D73" t="s">
        <v>122</v>
      </c>
      <c r="E73" t="s">
        <v>123</v>
      </c>
      <c r="F73" t="s">
        <v>124</v>
      </c>
      <c r="G73" s="2">
        <v>45823</v>
      </c>
      <c r="H73" t="s">
        <v>80</v>
      </c>
    </row>
    <row r="74" spans="1:8" hidden="1" x14ac:dyDescent="0.45">
      <c r="A74" t="s">
        <v>87</v>
      </c>
      <c r="B74">
        <v>1</v>
      </c>
      <c r="C74" t="s">
        <v>16</v>
      </c>
      <c r="D74" t="s">
        <v>125</v>
      </c>
      <c r="E74" t="s">
        <v>83</v>
      </c>
      <c r="F74" t="s">
        <v>126</v>
      </c>
      <c r="G74" s="2">
        <v>45822</v>
      </c>
      <c r="H74" t="s">
        <v>14</v>
      </c>
    </row>
    <row r="75" spans="1:8" x14ac:dyDescent="0.45">
      <c r="A75" t="s">
        <v>127</v>
      </c>
      <c r="B75">
        <v>1</v>
      </c>
      <c r="C75" t="s">
        <v>16</v>
      </c>
      <c r="D75" t="s">
        <v>128</v>
      </c>
      <c r="E75" t="s">
        <v>129</v>
      </c>
      <c r="F75" t="s">
        <v>130</v>
      </c>
      <c r="G75" s="2">
        <v>45815</v>
      </c>
      <c r="H75" t="s">
        <v>138</v>
      </c>
    </row>
    <row r="76" spans="1:8" x14ac:dyDescent="0.45">
      <c r="A76" t="s">
        <v>131</v>
      </c>
      <c r="B76">
        <v>1</v>
      </c>
      <c r="C76" t="s">
        <v>16</v>
      </c>
      <c r="D76" t="s">
        <v>128</v>
      </c>
      <c r="E76" t="s">
        <v>129</v>
      </c>
      <c r="F76" t="s">
        <v>130</v>
      </c>
      <c r="G76" s="2">
        <v>45815</v>
      </c>
      <c r="H76" t="s">
        <v>138</v>
      </c>
    </row>
    <row r="77" spans="1:8" hidden="1" x14ac:dyDescent="0.45">
      <c r="A77" t="s">
        <v>50</v>
      </c>
      <c r="B77">
        <v>1</v>
      </c>
      <c r="C77" t="s">
        <v>16</v>
      </c>
      <c r="D77" t="s">
        <v>132</v>
      </c>
      <c r="E77" t="s">
        <v>133</v>
      </c>
      <c r="F77" t="s">
        <v>134</v>
      </c>
      <c r="G77" s="2">
        <v>45815</v>
      </c>
      <c r="H77" t="s">
        <v>96</v>
      </c>
    </row>
    <row r="78" spans="1:8" x14ac:dyDescent="0.45">
      <c r="A78" t="s">
        <v>135</v>
      </c>
      <c r="B78">
        <v>1</v>
      </c>
      <c r="C78" t="s">
        <v>16</v>
      </c>
      <c r="D78" t="s">
        <v>136</v>
      </c>
      <c r="E78" t="s">
        <v>129</v>
      </c>
      <c r="F78" t="s">
        <v>137</v>
      </c>
      <c r="G78" s="2">
        <v>45815</v>
      </c>
      <c r="H78" t="s">
        <v>138</v>
      </c>
    </row>
    <row r="79" spans="1:8" hidden="1" x14ac:dyDescent="0.45">
      <c r="A79" t="s">
        <v>41</v>
      </c>
      <c r="B79">
        <v>1</v>
      </c>
      <c r="C79" t="s">
        <v>16</v>
      </c>
      <c r="D79" t="s">
        <v>132</v>
      </c>
      <c r="E79" t="s">
        <v>133</v>
      </c>
      <c r="F79" t="s">
        <v>134</v>
      </c>
      <c r="G79" s="2">
        <v>45815</v>
      </c>
      <c r="H79" t="s">
        <v>96</v>
      </c>
    </row>
    <row r="80" spans="1:8" x14ac:dyDescent="0.45">
      <c r="A80" t="s">
        <v>91</v>
      </c>
      <c r="B80">
        <v>1</v>
      </c>
      <c r="C80" t="s">
        <v>16</v>
      </c>
      <c r="D80" t="s">
        <v>136</v>
      </c>
      <c r="E80" t="s">
        <v>129</v>
      </c>
      <c r="F80" t="s">
        <v>137</v>
      </c>
      <c r="G80" s="2">
        <v>45815</v>
      </c>
      <c r="H80" t="s">
        <v>138</v>
      </c>
    </row>
    <row r="81" spans="1:8" x14ac:dyDescent="0.45">
      <c r="A81" t="s">
        <v>98</v>
      </c>
      <c r="B81">
        <v>1</v>
      </c>
      <c r="C81" t="s">
        <v>16</v>
      </c>
      <c r="D81" t="s">
        <v>136</v>
      </c>
      <c r="E81" t="s">
        <v>129</v>
      </c>
      <c r="F81" t="s">
        <v>137</v>
      </c>
      <c r="G81" s="2">
        <v>45815</v>
      </c>
      <c r="H81" t="s">
        <v>138</v>
      </c>
    </row>
    <row r="82" spans="1:8" x14ac:dyDescent="0.45">
      <c r="A82" t="s">
        <v>139</v>
      </c>
      <c r="B82">
        <v>1</v>
      </c>
      <c r="C82" t="s">
        <v>16</v>
      </c>
      <c r="D82" t="s">
        <v>136</v>
      </c>
      <c r="E82" t="s">
        <v>129</v>
      </c>
      <c r="F82" t="s">
        <v>137</v>
      </c>
      <c r="G82" s="2">
        <v>45815</v>
      </c>
      <c r="H82" t="s">
        <v>138</v>
      </c>
    </row>
    <row r="83" spans="1:8" x14ac:dyDescent="0.45">
      <c r="A83" t="s">
        <v>64</v>
      </c>
      <c r="B83">
        <v>1</v>
      </c>
      <c r="C83" t="s">
        <v>16</v>
      </c>
      <c r="D83" t="s">
        <v>136</v>
      </c>
      <c r="E83" t="s">
        <v>129</v>
      </c>
      <c r="F83" t="s">
        <v>137</v>
      </c>
      <c r="G83" s="2">
        <v>45815</v>
      </c>
      <c r="H83" t="s">
        <v>138</v>
      </c>
    </row>
    <row r="84" spans="1:8" x14ac:dyDescent="0.45">
      <c r="A84" t="s">
        <v>140</v>
      </c>
      <c r="B84">
        <v>2</v>
      </c>
      <c r="C84" t="s">
        <v>10</v>
      </c>
      <c r="D84" t="s">
        <v>136</v>
      </c>
      <c r="E84" t="s">
        <v>129</v>
      </c>
      <c r="F84" t="s">
        <v>137</v>
      </c>
      <c r="G84" s="2">
        <v>45815</v>
      </c>
      <c r="H84" t="s">
        <v>138</v>
      </c>
    </row>
    <row r="85" spans="1:8" x14ac:dyDescent="0.45">
      <c r="A85" t="s">
        <v>141</v>
      </c>
      <c r="B85">
        <v>2</v>
      </c>
      <c r="C85" t="s">
        <v>10</v>
      </c>
      <c r="D85" t="s">
        <v>136</v>
      </c>
      <c r="E85" t="s">
        <v>129</v>
      </c>
      <c r="F85" t="s">
        <v>137</v>
      </c>
      <c r="G85" s="2">
        <v>45815</v>
      </c>
      <c r="H85" t="s">
        <v>138</v>
      </c>
    </row>
    <row r="86" spans="1:8" x14ac:dyDescent="0.45">
      <c r="A86" t="s">
        <v>131</v>
      </c>
      <c r="B86">
        <v>2</v>
      </c>
      <c r="C86" t="s">
        <v>10</v>
      </c>
      <c r="D86" t="s">
        <v>128</v>
      </c>
      <c r="E86" t="s">
        <v>129</v>
      </c>
      <c r="F86" t="s">
        <v>130</v>
      </c>
      <c r="G86" s="2">
        <v>45815</v>
      </c>
      <c r="H86" t="s">
        <v>138</v>
      </c>
    </row>
    <row r="87" spans="1:8" x14ac:dyDescent="0.45">
      <c r="A87" t="s">
        <v>103</v>
      </c>
      <c r="B87">
        <v>2</v>
      </c>
      <c r="C87" t="s">
        <v>10</v>
      </c>
      <c r="D87" t="s">
        <v>136</v>
      </c>
      <c r="E87" t="s">
        <v>129</v>
      </c>
      <c r="F87" t="s">
        <v>137</v>
      </c>
      <c r="G87" s="2">
        <v>45815</v>
      </c>
      <c r="H87" t="s">
        <v>138</v>
      </c>
    </row>
    <row r="88" spans="1:8" x14ac:dyDescent="0.45">
      <c r="A88" t="s">
        <v>142</v>
      </c>
      <c r="B88">
        <v>2</v>
      </c>
      <c r="C88" t="s">
        <v>10</v>
      </c>
      <c r="D88" t="s">
        <v>128</v>
      </c>
      <c r="E88" t="s">
        <v>129</v>
      </c>
      <c r="F88" t="s">
        <v>130</v>
      </c>
      <c r="G88" s="2">
        <v>45815</v>
      </c>
      <c r="H88" t="s">
        <v>138</v>
      </c>
    </row>
    <row r="89" spans="1:8" x14ac:dyDescent="0.45">
      <c r="A89" t="s">
        <v>143</v>
      </c>
      <c r="B89">
        <v>2</v>
      </c>
      <c r="C89" t="s">
        <v>10</v>
      </c>
      <c r="D89" t="s">
        <v>136</v>
      </c>
      <c r="E89" t="s">
        <v>129</v>
      </c>
      <c r="F89" t="s">
        <v>137</v>
      </c>
      <c r="G89" s="2">
        <v>45815</v>
      </c>
      <c r="H89" t="s">
        <v>138</v>
      </c>
    </row>
    <row r="90" spans="1:8" x14ac:dyDescent="0.45">
      <c r="A90" t="s">
        <v>49</v>
      </c>
      <c r="B90">
        <v>2</v>
      </c>
      <c r="C90" t="s">
        <v>10</v>
      </c>
      <c r="D90" t="s">
        <v>136</v>
      </c>
      <c r="E90" t="s">
        <v>129</v>
      </c>
      <c r="F90" t="s">
        <v>137</v>
      </c>
      <c r="G90" s="2">
        <v>45815</v>
      </c>
      <c r="H90" t="s">
        <v>138</v>
      </c>
    </row>
    <row r="91" spans="1:8" x14ac:dyDescent="0.45">
      <c r="A91" t="s">
        <v>144</v>
      </c>
      <c r="B91">
        <v>3</v>
      </c>
      <c r="C91" t="s">
        <v>38</v>
      </c>
      <c r="D91" t="s">
        <v>136</v>
      </c>
      <c r="E91" t="s">
        <v>129</v>
      </c>
      <c r="F91" t="s">
        <v>137</v>
      </c>
      <c r="G91" s="2">
        <v>45815</v>
      </c>
      <c r="H91" t="s">
        <v>138</v>
      </c>
    </row>
    <row r="92" spans="1:8" x14ac:dyDescent="0.45">
      <c r="A92" t="s">
        <v>145</v>
      </c>
      <c r="B92">
        <v>3</v>
      </c>
      <c r="C92" t="s">
        <v>38</v>
      </c>
      <c r="D92" t="s">
        <v>136</v>
      </c>
      <c r="E92" t="s">
        <v>129</v>
      </c>
      <c r="F92" t="s">
        <v>137</v>
      </c>
      <c r="G92" s="2">
        <v>45815</v>
      </c>
      <c r="H92" t="s">
        <v>138</v>
      </c>
    </row>
    <row r="93" spans="1:8" x14ac:dyDescent="0.45">
      <c r="A93" t="s">
        <v>121</v>
      </c>
      <c r="B93">
        <v>3</v>
      </c>
      <c r="C93" t="s">
        <v>38</v>
      </c>
      <c r="D93" t="s">
        <v>128</v>
      </c>
      <c r="E93" t="s">
        <v>129</v>
      </c>
      <c r="F93" t="s">
        <v>130</v>
      </c>
      <c r="G93" s="2">
        <v>45815</v>
      </c>
      <c r="H93" t="s">
        <v>138</v>
      </c>
    </row>
    <row r="94" spans="1:8" x14ac:dyDescent="0.45">
      <c r="A94" t="s">
        <v>146</v>
      </c>
      <c r="B94">
        <v>3</v>
      </c>
      <c r="C94" t="s">
        <v>38</v>
      </c>
      <c r="D94" t="s">
        <v>136</v>
      </c>
      <c r="E94" t="s">
        <v>129</v>
      </c>
      <c r="F94" t="s">
        <v>137</v>
      </c>
      <c r="G94" s="2">
        <v>45815</v>
      </c>
      <c r="H94" t="s">
        <v>138</v>
      </c>
    </row>
    <row r="95" spans="1:8" hidden="1" x14ac:dyDescent="0.45">
      <c r="A95" t="s">
        <v>147</v>
      </c>
      <c r="B95">
        <v>1</v>
      </c>
      <c r="C95" t="s">
        <v>16</v>
      </c>
      <c r="D95" t="s">
        <v>148</v>
      </c>
      <c r="E95" t="s">
        <v>23</v>
      </c>
      <c r="F95" t="s">
        <v>149</v>
      </c>
      <c r="G95" s="2">
        <v>45808</v>
      </c>
      <c r="H95" t="s">
        <v>25</v>
      </c>
    </row>
    <row r="96" spans="1:8" hidden="1" x14ac:dyDescent="0.45">
      <c r="A96" t="s">
        <v>150</v>
      </c>
      <c r="B96">
        <v>2</v>
      </c>
      <c r="C96" t="s">
        <v>10</v>
      </c>
      <c r="D96" t="s">
        <v>148</v>
      </c>
      <c r="E96" t="s">
        <v>23</v>
      </c>
      <c r="F96" t="s">
        <v>149</v>
      </c>
      <c r="G96" s="2">
        <v>45808</v>
      </c>
      <c r="H96" t="s">
        <v>25</v>
      </c>
    </row>
    <row r="97" spans="1:8" hidden="1" x14ac:dyDescent="0.45">
      <c r="A97" t="s">
        <v>87</v>
      </c>
      <c r="B97">
        <v>2</v>
      </c>
      <c r="C97" t="s">
        <v>10</v>
      </c>
      <c r="D97" t="s">
        <v>151</v>
      </c>
      <c r="E97" t="s">
        <v>9</v>
      </c>
      <c r="F97" t="s">
        <v>152</v>
      </c>
      <c r="G97" s="2">
        <v>45808</v>
      </c>
      <c r="H97" t="s">
        <v>14</v>
      </c>
    </row>
    <row r="98" spans="1:8" hidden="1" x14ac:dyDescent="0.45">
      <c r="A98" t="s">
        <v>153</v>
      </c>
      <c r="B98">
        <v>3</v>
      </c>
      <c r="C98" t="s">
        <v>38</v>
      </c>
      <c r="D98" t="s">
        <v>148</v>
      </c>
      <c r="E98" t="s">
        <v>23</v>
      </c>
      <c r="F98" t="s">
        <v>149</v>
      </c>
      <c r="G98" s="2">
        <v>45808</v>
      </c>
      <c r="H98" t="s">
        <v>25</v>
      </c>
    </row>
    <row r="99" spans="1:8" hidden="1" x14ac:dyDescent="0.45">
      <c r="A99" t="s">
        <v>64</v>
      </c>
      <c r="B99">
        <v>3</v>
      </c>
      <c r="C99" t="s">
        <v>38</v>
      </c>
      <c r="D99" t="s">
        <v>154</v>
      </c>
      <c r="E99" t="s">
        <v>155</v>
      </c>
      <c r="F99" t="s">
        <v>156</v>
      </c>
      <c r="G99" s="2">
        <v>45801</v>
      </c>
      <c r="H99" t="s">
        <v>33</v>
      </c>
    </row>
    <row r="100" spans="1:8" hidden="1" x14ac:dyDescent="0.45">
      <c r="A100" t="s">
        <v>139</v>
      </c>
      <c r="B100">
        <v>1</v>
      </c>
      <c r="C100" t="s">
        <v>16</v>
      </c>
      <c r="D100" t="s">
        <v>157</v>
      </c>
      <c r="E100" t="s">
        <v>158</v>
      </c>
      <c r="F100" t="s">
        <v>159</v>
      </c>
      <c r="G100" s="2">
        <v>45794</v>
      </c>
      <c r="H100" t="s">
        <v>96</v>
      </c>
    </row>
    <row r="101" spans="1:8" hidden="1" x14ac:dyDescent="0.45">
      <c r="A101" t="s">
        <v>50</v>
      </c>
      <c r="B101">
        <v>3</v>
      </c>
      <c r="C101" t="s">
        <v>38</v>
      </c>
      <c r="D101" t="s">
        <v>157</v>
      </c>
      <c r="E101" t="s">
        <v>158</v>
      </c>
      <c r="F101" t="s">
        <v>159</v>
      </c>
      <c r="G101" s="2">
        <v>45794</v>
      </c>
      <c r="H101" t="s">
        <v>96</v>
      </c>
    </row>
    <row r="102" spans="1:8" hidden="1" x14ac:dyDescent="0.45">
      <c r="A102" t="s">
        <v>160</v>
      </c>
      <c r="B102">
        <v>3</v>
      </c>
      <c r="C102" t="s">
        <v>38</v>
      </c>
      <c r="D102" t="s">
        <v>157</v>
      </c>
      <c r="E102" t="s">
        <v>158</v>
      </c>
      <c r="F102" t="s">
        <v>159</v>
      </c>
      <c r="G102" s="2">
        <v>45794</v>
      </c>
      <c r="H102" t="s">
        <v>96</v>
      </c>
    </row>
    <row r="103" spans="1:8" hidden="1" x14ac:dyDescent="0.45">
      <c r="A103" t="s">
        <v>100</v>
      </c>
      <c r="B103">
        <v>3</v>
      </c>
      <c r="C103" t="s">
        <v>38</v>
      </c>
      <c r="D103" t="s">
        <v>157</v>
      </c>
      <c r="E103" t="s">
        <v>158</v>
      </c>
      <c r="F103" t="s">
        <v>159</v>
      </c>
      <c r="G103" s="2">
        <v>45794</v>
      </c>
      <c r="H103" t="s">
        <v>96</v>
      </c>
    </row>
    <row r="104" spans="1:8" hidden="1" x14ac:dyDescent="0.45">
      <c r="A104" t="s">
        <v>85</v>
      </c>
      <c r="B104">
        <v>1</v>
      </c>
      <c r="C104" t="s">
        <v>16</v>
      </c>
      <c r="D104" t="s">
        <v>161</v>
      </c>
      <c r="E104" t="s">
        <v>57</v>
      </c>
      <c r="F104" t="s">
        <v>162</v>
      </c>
      <c r="G104" s="2">
        <v>45787</v>
      </c>
      <c r="H104" t="s">
        <v>113</v>
      </c>
    </row>
    <row r="105" spans="1:8" hidden="1" x14ac:dyDescent="0.45">
      <c r="A105" t="s">
        <v>86</v>
      </c>
      <c r="B105">
        <v>2</v>
      </c>
      <c r="C105" t="s">
        <v>10</v>
      </c>
      <c r="D105" t="s">
        <v>163</v>
      </c>
      <c r="E105" t="s">
        <v>31</v>
      </c>
      <c r="F105" t="s">
        <v>164</v>
      </c>
      <c r="G105" s="2">
        <v>45752</v>
      </c>
      <c r="H105" t="s">
        <v>20</v>
      </c>
    </row>
    <row r="106" spans="1:8" hidden="1" x14ac:dyDescent="0.45">
      <c r="A106" t="s">
        <v>165</v>
      </c>
      <c r="B106">
        <v>2</v>
      </c>
      <c r="C106" t="s">
        <v>10</v>
      </c>
      <c r="D106" t="s">
        <v>166</v>
      </c>
      <c r="E106" t="s">
        <v>89</v>
      </c>
      <c r="F106" t="s">
        <v>167</v>
      </c>
      <c r="G106" s="2">
        <v>45752</v>
      </c>
      <c r="H106" t="s">
        <v>168</v>
      </c>
    </row>
    <row r="107" spans="1:8" hidden="1" x14ac:dyDescent="0.45">
      <c r="A107" t="s">
        <v>169</v>
      </c>
      <c r="B107">
        <v>1</v>
      </c>
      <c r="C107" t="s">
        <v>16</v>
      </c>
      <c r="D107" t="s">
        <v>170</v>
      </c>
      <c r="E107" t="s">
        <v>9</v>
      </c>
      <c r="F107" t="s">
        <v>171</v>
      </c>
      <c r="G107" s="2">
        <v>45744</v>
      </c>
      <c r="H107" t="s">
        <v>25</v>
      </c>
    </row>
    <row r="108" spans="1:8" hidden="1" x14ac:dyDescent="0.45">
      <c r="A108" t="s">
        <v>85</v>
      </c>
      <c r="B108">
        <v>1</v>
      </c>
      <c r="C108" t="s">
        <v>16</v>
      </c>
      <c r="D108" t="s">
        <v>170</v>
      </c>
      <c r="E108" t="s">
        <v>9</v>
      </c>
      <c r="F108" t="s">
        <v>171</v>
      </c>
      <c r="G108" s="2">
        <v>45744</v>
      </c>
      <c r="H108" t="s">
        <v>25</v>
      </c>
    </row>
    <row r="109" spans="1:8" hidden="1" x14ac:dyDescent="0.45">
      <c r="A109" t="s">
        <v>109</v>
      </c>
      <c r="B109">
        <v>3</v>
      </c>
      <c r="C109" t="s">
        <v>38</v>
      </c>
      <c r="D109" t="s">
        <v>170</v>
      </c>
      <c r="E109" t="s">
        <v>9</v>
      </c>
      <c r="F109" t="s">
        <v>171</v>
      </c>
      <c r="G109" s="2">
        <v>45744</v>
      </c>
      <c r="H109" t="s">
        <v>25</v>
      </c>
    </row>
    <row r="110" spans="1:8" hidden="1" x14ac:dyDescent="0.45">
      <c r="A110" t="s">
        <v>172</v>
      </c>
      <c r="B110">
        <v>3</v>
      </c>
      <c r="C110" t="s">
        <v>38</v>
      </c>
      <c r="D110" t="s">
        <v>170</v>
      </c>
      <c r="E110" t="s">
        <v>9</v>
      </c>
      <c r="F110" t="s">
        <v>171</v>
      </c>
      <c r="G110" s="2">
        <v>45744</v>
      </c>
      <c r="H110" t="s">
        <v>25</v>
      </c>
    </row>
    <row r="111" spans="1:8" hidden="1" x14ac:dyDescent="0.45">
      <c r="A111" t="s">
        <v>85</v>
      </c>
      <c r="B111">
        <v>1</v>
      </c>
      <c r="C111" t="s">
        <v>16</v>
      </c>
      <c r="D111" t="s">
        <v>173</v>
      </c>
      <c r="E111" t="s">
        <v>116</v>
      </c>
      <c r="F111" t="s">
        <v>174</v>
      </c>
      <c r="G111" s="2">
        <v>45738</v>
      </c>
      <c r="H111" t="s">
        <v>25</v>
      </c>
    </row>
    <row r="112" spans="1:8" hidden="1" x14ac:dyDescent="0.45">
      <c r="A112" t="s">
        <v>131</v>
      </c>
      <c r="B112">
        <v>3</v>
      </c>
      <c r="C112" t="s">
        <v>38</v>
      </c>
      <c r="D112" t="s">
        <v>173</v>
      </c>
      <c r="E112" t="s">
        <v>116</v>
      </c>
      <c r="F112" t="s">
        <v>174</v>
      </c>
      <c r="G112" s="2">
        <v>45738</v>
      </c>
      <c r="H112" t="s">
        <v>25</v>
      </c>
    </row>
    <row r="113" spans="1:8" hidden="1" x14ac:dyDescent="0.45">
      <c r="A113" t="s">
        <v>103</v>
      </c>
      <c r="B113">
        <v>1</v>
      </c>
      <c r="C113" t="s">
        <v>16</v>
      </c>
      <c r="D113" t="s">
        <v>175</v>
      </c>
      <c r="E113" t="s">
        <v>43</v>
      </c>
      <c r="F113" t="s">
        <v>176</v>
      </c>
      <c r="G113" s="2">
        <v>45730</v>
      </c>
      <c r="H113" t="s">
        <v>96</v>
      </c>
    </row>
    <row r="114" spans="1:8" hidden="1" x14ac:dyDescent="0.45">
      <c r="A114" t="s">
        <v>140</v>
      </c>
      <c r="B114">
        <v>1</v>
      </c>
      <c r="C114" t="s">
        <v>16</v>
      </c>
      <c r="D114" t="s">
        <v>175</v>
      </c>
      <c r="E114" t="s">
        <v>43</v>
      </c>
      <c r="F114" t="s">
        <v>176</v>
      </c>
      <c r="G114" s="2">
        <v>45730</v>
      </c>
      <c r="H114" t="s">
        <v>96</v>
      </c>
    </row>
    <row r="115" spans="1:8" hidden="1" x14ac:dyDescent="0.45">
      <c r="A115" t="s">
        <v>75</v>
      </c>
      <c r="B115">
        <v>1</v>
      </c>
      <c r="C115" t="s">
        <v>16</v>
      </c>
      <c r="D115" t="s">
        <v>177</v>
      </c>
      <c r="E115" t="s">
        <v>178</v>
      </c>
      <c r="F115" t="s">
        <v>179</v>
      </c>
      <c r="G115" s="2">
        <v>45704</v>
      </c>
      <c r="H115" t="s">
        <v>25</v>
      </c>
    </row>
    <row r="116" spans="1:8" hidden="1" x14ac:dyDescent="0.45">
      <c r="A116" t="s">
        <v>37</v>
      </c>
      <c r="B116">
        <v>2</v>
      </c>
      <c r="C116" t="s">
        <v>10</v>
      </c>
      <c r="D116" t="s">
        <v>177</v>
      </c>
      <c r="E116" t="s">
        <v>178</v>
      </c>
      <c r="F116" t="s">
        <v>179</v>
      </c>
      <c r="G116" s="2">
        <v>45704</v>
      </c>
      <c r="H116" t="s">
        <v>25</v>
      </c>
    </row>
    <row r="117" spans="1:8" hidden="1" x14ac:dyDescent="0.45">
      <c r="A117" t="s">
        <v>141</v>
      </c>
      <c r="B117">
        <v>2</v>
      </c>
      <c r="C117" t="s">
        <v>10</v>
      </c>
      <c r="D117" t="s">
        <v>180</v>
      </c>
      <c r="E117" t="s">
        <v>27</v>
      </c>
      <c r="F117" t="s">
        <v>181</v>
      </c>
      <c r="G117" s="2">
        <v>45703</v>
      </c>
      <c r="H117" t="s">
        <v>33</v>
      </c>
    </row>
    <row r="118" spans="1:8" hidden="1" x14ac:dyDescent="0.45">
      <c r="A118" t="s">
        <v>140</v>
      </c>
      <c r="B118">
        <v>3</v>
      </c>
      <c r="C118" t="s">
        <v>38</v>
      </c>
      <c r="D118" t="s">
        <v>180</v>
      </c>
      <c r="E118" t="s">
        <v>27</v>
      </c>
      <c r="F118" t="s">
        <v>181</v>
      </c>
      <c r="G118" s="2">
        <v>45703</v>
      </c>
      <c r="H118" t="s">
        <v>33</v>
      </c>
    </row>
  </sheetData>
  <mergeCells count="1">
    <mergeCell ref="C2:D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B17" sqref="B17"/>
    </sheetView>
  </sheetViews>
  <sheetFormatPr defaultRowHeight="14.25" x14ac:dyDescent="0.45"/>
  <cols>
    <col min="1" max="1" width="36.86328125" bestFit="1" customWidth="1"/>
    <col min="2" max="2" width="7.53125" bestFit="1" customWidth="1"/>
    <col min="3" max="3" width="5.86328125" bestFit="1" customWidth="1"/>
    <col min="4" max="4" width="7.19921875" bestFit="1" customWidth="1"/>
    <col min="5" max="5" width="11.33203125" bestFit="1" customWidth="1"/>
  </cols>
  <sheetData>
    <row r="1" spans="1:5" x14ac:dyDescent="0.45">
      <c r="A1" s="1" t="s">
        <v>7</v>
      </c>
      <c r="B1" s="1" t="s">
        <v>182</v>
      </c>
      <c r="C1" s="1" t="s">
        <v>183</v>
      </c>
      <c r="D1" s="1" t="s">
        <v>184</v>
      </c>
      <c r="E1" s="1" t="s">
        <v>185</v>
      </c>
    </row>
    <row r="2" spans="1:5" x14ac:dyDescent="0.45">
      <c r="A2" t="s">
        <v>25</v>
      </c>
      <c r="B2">
        <v>10</v>
      </c>
      <c r="C2">
        <v>7</v>
      </c>
      <c r="D2">
        <v>9</v>
      </c>
      <c r="E2">
        <v>26</v>
      </c>
    </row>
    <row r="3" spans="1:5" x14ac:dyDescent="0.45">
      <c r="A3" t="s">
        <v>33</v>
      </c>
      <c r="B3">
        <v>5</v>
      </c>
      <c r="C3">
        <v>9</v>
      </c>
      <c r="D3">
        <v>7</v>
      </c>
      <c r="E3">
        <v>21</v>
      </c>
    </row>
    <row r="4" spans="1:5" x14ac:dyDescent="0.45">
      <c r="A4" t="s">
        <v>96</v>
      </c>
      <c r="B4">
        <v>6</v>
      </c>
      <c r="C4">
        <v>4</v>
      </c>
      <c r="D4">
        <v>9</v>
      </c>
      <c r="E4">
        <v>19</v>
      </c>
    </row>
    <row r="5" spans="1:5" x14ac:dyDescent="0.45">
      <c r="A5" t="s">
        <v>138</v>
      </c>
      <c r="B5">
        <v>7</v>
      </c>
      <c r="C5">
        <v>7</v>
      </c>
      <c r="D5">
        <v>4</v>
      </c>
      <c r="E5">
        <v>18</v>
      </c>
    </row>
    <row r="6" spans="1:5" x14ac:dyDescent="0.45">
      <c r="A6" t="s">
        <v>45</v>
      </c>
      <c r="B6">
        <v>2</v>
      </c>
      <c r="C6">
        <v>3</v>
      </c>
      <c r="D6">
        <v>1</v>
      </c>
      <c r="E6">
        <v>6</v>
      </c>
    </row>
    <row r="7" spans="1:5" x14ac:dyDescent="0.45">
      <c r="A7" t="s">
        <v>14</v>
      </c>
      <c r="B7">
        <v>2</v>
      </c>
      <c r="C7">
        <v>2</v>
      </c>
      <c r="D7">
        <v>1</v>
      </c>
      <c r="E7">
        <v>5</v>
      </c>
    </row>
    <row r="8" spans="1:5" x14ac:dyDescent="0.45">
      <c r="A8" t="s">
        <v>113</v>
      </c>
      <c r="B8">
        <v>1</v>
      </c>
      <c r="C8">
        <v>2</v>
      </c>
      <c r="D8">
        <v>1</v>
      </c>
      <c r="E8">
        <v>4</v>
      </c>
    </row>
    <row r="9" spans="1:5" x14ac:dyDescent="0.45">
      <c r="A9" t="s">
        <v>74</v>
      </c>
      <c r="B9">
        <v>2</v>
      </c>
      <c r="C9">
        <v>1</v>
      </c>
      <c r="D9">
        <v>0</v>
      </c>
      <c r="E9">
        <v>3</v>
      </c>
    </row>
    <row r="10" spans="1:5" x14ac:dyDescent="0.45">
      <c r="A10" t="s">
        <v>80</v>
      </c>
      <c r="B10">
        <v>0</v>
      </c>
      <c r="C10">
        <v>3</v>
      </c>
      <c r="D10">
        <v>0</v>
      </c>
      <c r="E10">
        <v>3</v>
      </c>
    </row>
    <row r="11" spans="1:5" x14ac:dyDescent="0.45">
      <c r="A11" t="s">
        <v>20</v>
      </c>
      <c r="B11">
        <v>1</v>
      </c>
      <c r="C11">
        <v>1</v>
      </c>
      <c r="D11">
        <v>0</v>
      </c>
      <c r="E11">
        <v>2</v>
      </c>
    </row>
    <row r="12" spans="1:5" x14ac:dyDescent="0.45">
      <c r="A12" t="s">
        <v>59</v>
      </c>
      <c r="B12">
        <v>0</v>
      </c>
      <c r="C12">
        <v>1</v>
      </c>
      <c r="D12">
        <v>1</v>
      </c>
      <c r="E12">
        <v>2</v>
      </c>
    </row>
    <row r="13" spans="1:5" x14ac:dyDescent="0.45">
      <c r="A13" t="s">
        <v>168</v>
      </c>
      <c r="B13">
        <v>0</v>
      </c>
      <c r="C13">
        <v>1</v>
      </c>
      <c r="D13">
        <v>0</v>
      </c>
      <c r="E13">
        <v>1</v>
      </c>
    </row>
    <row r="14" spans="1:5" x14ac:dyDescent="0.45">
      <c r="B14">
        <f>SUM(B2:B13)</f>
        <v>36</v>
      </c>
      <c r="C14">
        <f t="shared" ref="C14:E14" si="0">SUM(C2:C13)</f>
        <v>41</v>
      </c>
      <c r="D14">
        <f t="shared" si="0"/>
        <v>33</v>
      </c>
      <c r="E14">
        <f t="shared" si="0"/>
        <v>110</v>
      </c>
    </row>
    <row r="16" spans="1:5" x14ac:dyDescent="0.45">
      <c r="B16" cm="1">
        <f t="array" ref="B16:E16">TRANSPOSE(usa_medal_detail!D3:D6)</f>
        <v>36</v>
      </c>
      <c r="C16">
        <v>41</v>
      </c>
      <c r="D16">
        <v>33</v>
      </c>
      <c r="E16">
        <v>110</v>
      </c>
    </row>
    <row r="17" spans="2:5" x14ac:dyDescent="0.45">
      <c r="B17" t="b">
        <f>B14=B16</f>
        <v>1</v>
      </c>
      <c r="C17" t="b">
        <f t="shared" ref="C17:E17" si="1">C14=C16</f>
        <v>1</v>
      </c>
      <c r="D17" t="b">
        <f t="shared" si="1"/>
        <v>1</v>
      </c>
      <c r="E17" t="b">
        <f t="shared" si="1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selection activeCell="A27" sqref="A27"/>
    </sheetView>
  </sheetViews>
  <sheetFormatPr defaultRowHeight="14.25" x14ac:dyDescent="0.45"/>
  <cols>
    <col min="1" max="1" width="17.73046875" bestFit="1" customWidth="1"/>
    <col min="2" max="2" width="5.06640625" bestFit="1" customWidth="1"/>
    <col min="3" max="3" width="5.86328125" bestFit="1" customWidth="1"/>
    <col min="4" max="4" width="7.19921875" bestFit="1" customWidth="1"/>
    <col min="5" max="5" width="11.33203125" bestFit="1" customWidth="1"/>
  </cols>
  <sheetData>
    <row r="1" spans="1:5" x14ac:dyDescent="0.45">
      <c r="A1" s="1" t="s">
        <v>4</v>
      </c>
      <c r="B1" s="1" t="s">
        <v>182</v>
      </c>
      <c r="C1" s="1" t="s">
        <v>183</v>
      </c>
      <c r="D1" s="1" t="s">
        <v>184</v>
      </c>
      <c r="E1" s="1" t="s">
        <v>185</v>
      </c>
    </row>
    <row r="2" spans="1:5" x14ac:dyDescent="0.45">
      <c r="A2" t="s">
        <v>83</v>
      </c>
      <c r="B2">
        <v>8</v>
      </c>
      <c r="C2">
        <v>11</v>
      </c>
      <c r="D2">
        <v>14</v>
      </c>
      <c r="E2">
        <v>33</v>
      </c>
    </row>
    <row r="3" spans="1:5" x14ac:dyDescent="0.45">
      <c r="A3" t="s">
        <v>129</v>
      </c>
      <c r="B3">
        <v>7</v>
      </c>
      <c r="C3">
        <v>7</v>
      </c>
      <c r="D3">
        <v>4</v>
      </c>
      <c r="E3">
        <v>18</v>
      </c>
    </row>
    <row r="4" spans="1:5" x14ac:dyDescent="0.45">
      <c r="A4" t="s">
        <v>43</v>
      </c>
      <c r="B4">
        <v>4</v>
      </c>
      <c r="C4">
        <v>3</v>
      </c>
      <c r="D4">
        <v>1</v>
      </c>
      <c r="E4">
        <v>8</v>
      </c>
    </row>
    <row r="5" spans="1:5" x14ac:dyDescent="0.45">
      <c r="A5" t="s">
        <v>9</v>
      </c>
      <c r="B5">
        <v>2</v>
      </c>
      <c r="C5">
        <v>1</v>
      </c>
      <c r="D5">
        <v>2</v>
      </c>
      <c r="E5">
        <v>5</v>
      </c>
    </row>
    <row r="6" spans="1:5" x14ac:dyDescent="0.45">
      <c r="A6" t="s">
        <v>31</v>
      </c>
      <c r="B6">
        <v>1</v>
      </c>
      <c r="C6">
        <v>3</v>
      </c>
      <c r="D6">
        <v>1</v>
      </c>
      <c r="E6">
        <v>5</v>
      </c>
    </row>
    <row r="7" spans="1:5" x14ac:dyDescent="0.45">
      <c r="A7" t="s">
        <v>158</v>
      </c>
      <c r="B7">
        <v>1</v>
      </c>
      <c r="C7">
        <v>0</v>
      </c>
      <c r="D7">
        <v>3</v>
      </c>
      <c r="E7">
        <v>4</v>
      </c>
    </row>
    <row r="8" spans="1:5" x14ac:dyDescent="0.45">
      <c r="A8" t="s">
        <v>66</v>
      </c>
      <c r="B8">
        <v>1</v>
      </c>
      <c r="C8">
        <v>2</v>
      </c>
      <c r="D8">
        <v>1</v>
      </c>
      <c r="E8">
        <v>4</v>
      </c>
    </row>
    <row r="9" spans="1:5" x14ac:dyDescent="0.45">
      <c r="A9" t="s">
        <v>23</v>
      </c>
      <c r="B9">
        <v>2</v>
      </c>
      <c r="C9">
        <v>1</v>
      </c>
      <c r="D9">
        <v>1</v>
      </c>
      <c r="E9">
        <v>4</v>
      </c>
    </row>
    <row r="10" spans="1:5" x14ac:dyDescent="0.45">
      <c r="A10" t="s">
        <v>27</v>
      </c>
      <c r="B10">
        <v>1</v>
      </c>
      <c r="C10">
        <v>1</v>
      </c>
      <c r="D10">
        <v>1</v>
      </c>
      <c r="E10">
        <v>3</v>
      </c>
    </row>
    <row r="11" spans="1:5" x14ac:dyDescent="0.45">
      <c r="A11" t="s">
        <v>72</v>
      </c>
      <c r="B11">
        <v>2</v>
      </c>
      <c r="C11">
        <v>1</v>
      </c>
      <c r="D11">
        <v>0</v>
      </c>
      <c r="E11">
        <v>3</v>
      </c>
    </row>
    <row r="12" spans="1:5" x14ac:dyDescent="0.45">
      <c r="A12" t="s">
        <v>116</v>
      </c>
      <c r="B12">
        <v>1</v>
      </c>
      <c r="C12">
        <v>1</v>
      </c>
      <c r="D12">
        <v>1</v>
      </c>
      <c r="E12">
        <v>3</v>
      </c>
    </row>
    <row r="13" spans="1:5" x14ac:dyDescent="0.45">
      <c r="A13" t="s">
        <v>133</v>
      </c>
      <c r="B13">
        <v>2</v>
      </c>
      <c r="C13">
        <v>0</v>
      </c>
      <c r="D13">
        <v>0</v>
      </c>
      <c r="E13">
        <v>2</v>
      </c>
    </row>
    <row r="14" spans="1:5" x14ac:dyDescent="0.45">
      <c r="A14" t="s">
        <v>57</v>
      </c>
      <c r="B14">
        <v>1</v>
      </c>
      <c r="C14">
        <v>0</v>
      </c>
      <c r="D14">
        <v>1</v>
      </c>
      <c r="E14">
        <v>2</v>
      </c>
    </row>
    <row r="15" spans="1:5" x14ac:dyDescent="0.45">
      <c r="A15" t="s">
        <v>178</v>
      </c>
      <c r="B15">
        <v>1</v>
      </c>
      <c r="C15">
        <v>1</v>
      </c>
      <c r="D15">
        <v>0</v>
      </c>
      <c r="E15">
        <v>2</v>
      </c>
    </row>
    <row r="16" spans="1:5" x14ac:dyDescent="0.45">
      <c r="A16" t="s">
        <v>89</v>
      </c>
      <c r="B16">
        <v>0</v>
      </c>
      <c r="C16">
        <v>1</v>
      </c>
      <c r="D16">
        <v>1</v>
      </c>
      <c r="E16">
        <v>2</v>
      </c>
    </row>
    <row r="17" spans="1:5" x14ac:dyDescent="0.45">
      <c r="A17" t="s">
        <v>93</v>
      </c>
      <c r="B17">
        <v>1</v>
      </c>
      <c r="C17">
        <v>1</v>
      </c>
      <c r="D17">
        <v>0</v>
      </c>
      <c r="E17">
        <v>2</v>
      </c>
    </row>
    <row r="18" spans="1:5" x14ac:dyDescent="0.45">
      <c r="A18" t="s">
        <v>111</v>
      </c>
      <c r="B18">
        <v>0</v>
      </c>
      <c r="C18">
        <v>1</v>
      </c>
      <c r="D18">
        <v>1</v>
      </c>
      <c r="E18">
        <v>2</v>
      </c>
    </row>
    <row r="19" spans="1:5" x14ac:dyDescent="0.45">
      <c r="A19" t="s">
        <v>119</v>
      </c>
      <c r="B19">
        <v>0</v>
      </c>
      <c r="C19">
        <v>1</v>
      </c>
      <c r="D19">
        <v>0</v>
      </c>
      <c r="E19">
        <v>1</v>
      </c>
    </row>
    <row r="20" spans="1:5" x14ac:dyDescent="0.45">
      <c r="A20" t="s">
        <v>78</v>
      </c>
      <c r="B20">
        <v>0</v>
      </c>
      <c r="C20">
        <v>1</v>
      </c>
      <c r="D20">
        <v>0</v>
      </c>
      <c r="E20">
        <v>1</v>
      </c>
    </row>
    <row r="21" spans="1:5" x14ac:dyDescent="0.45">
      <c r="A21" t="s">
        <v>62</v>
      </c>
      <c r="B21">
        <v>0</v>
      </c>
      <c r="C21">
        <v>1</v>
      </c>
      <c r="D21">
        <v>0</v>
      </c>
      <c r="E21">
        <v>1</v>
      </c>
    </row>
    <row r="22" spans="1:5" x14ac:dyDescent="0.45">
      <c r="A22" t="s">
        <v>12</v>
      </c>
      <c r="B22">
        <v>0</v>
      </c>
      <c r="C22">
        <v>1</v>
      </c>
      <c r="D22">
        <v>0</v>
      </c>
      <c r="E22">
        <v>1</v>
      </c>
    </row>
    <row r="23" spans="1:5" x14ac:dyDescent="0.45">
      <c r="A23" t="s">
        <v>53</v>
      </c>
      <c r="B23">
        <v>0</v>
      </c>
      <c r="C23">
        <v>1</v>
      </c>
      <c r="D23">
        <v>0</v>
      </c>
      <c r="E23">
        <v>1</v>
      </c>
    </row>
    <row r="24" spans="1:5" x14ac:dyDescent="0.45">
      <c r="A24" t="s">
        <v>123</v>
      </c>
      <c r="B24">
        <v>0</v>
      </c>
      <c r="C24">
        <v>1</v>
      </c>
      <c r="D24">
        <v>0</v>
      </c>
      <c r="E24">
        <v>1</v>
      </c>
    </row>
    <row r="25" spans="1:5" x14ac:dyDescent="0.45">
      <c r="A25" t="s">
        <v>18</v>
      </c>
      <c r="B25">
        <v>1</v>
      </c>
      <c r="C25">
        <v>0</v>
      </c>
      <c r="D25">
        <v>0</v>
      </c>
      <c r="E25">
        <v>1</v>
      </c>
    </row>
    <row r="26" spans="1:5" x14ac:dyDescent="0.45">
      <c r="A26" t="s">
        <v>155</v>
      </c>
      <c r="B26">
        <v>0</v>
      </c>
      <c r="C26">
        <v>0</v>
      </c>
      <c r="D26">
        <v>1</v>
      </c>
      <c r="E26">
        <v>1</v>
      </c>
    </row>
    <row r="27" spans="1:5" x14ac:dyDescent="0.45">
      <c r="B27">
        <f>SUM(B2:B26)</f>
        <v>36</v>
      </c>
      <c r="C27">
        <f t="shared" ref="C27:E27" si="0">SUM(C2:C26)</f>
        <v>41</v>
      </c>
      <c r="D27">
        <f t="shared" si="0"/>
        <v>33</v>
      </c>
      <c r="E27">
        <f t="shared" si="0"/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9"/>
  <sheetViews>
    <sheetView workbookViewId="0">
      <selection activeCell="B1" sqref="B1"/>
    </sheetView>
  </sheetViews>
  <sheetFormatPr defaultRowHeight="14.25" x14ac:dyDescent="0.45"/>
  <cols>
    <col min="1" max="1" width="27.06640625" bestFit="1" customWidth="1"/>
    <col min="2" max="3" width="13.796875" bestFit="1" customWidth="1"/>
  </cols>
  <sheetData>
    <row r="1" spans="1:3" x14ac:dyDescent="0.45">
      <c r="A1" s="1" t="s">
        <v>0</v>
      </c>
      <c r="B1" s="1" t="s">
        <v>186</v>
      </c>
      <c r="C1" s="1" t="s">
        <v>187</v>
      </c>
    </row>
    <row r="2" spans="1:3" x14ac:dyDescent="0.45">
      <c r="A2" t="s">
        <v>60</v>
      </c>
      <c r="B2" t="s">
        <v>9</v>
      </c>
      <c r="C2">
        <v>11</v>
      </c>
    </row>
    <row r="3" spans="1:3" x14ac:dyDescent="0.45">
      <c r="A3" t="s">
        <v>109</v>
      </c>
      <c r="B3" t="s">
        <v>9</v>
      </c>
      <c r="C3">
        <v>10</v>
      </c>
    </row>
    <row r="4" spans="1:3" x14ac:dyDescent="0.45">
      <c r="A4" t="s">
        <v>55</v>
      </c>
      <c r="B4" t="s">
        <v>9</v>
      </c>
      <c r="C4">
        <v>10</v>
      </c>
    </row>
    <row r="5" spans="1:3" x14ac:dyDescent="0.45">
      <c r="A5" t="s">
        <v>37</v>
      </c>
      <c r="B5" t="s">
        <v>9</v>
      </c>
      <c r="C5">
        <v>9</v>
      </c>
    </row>
    <row r="6" spans="1:3" x14ac:dyDescent="0.45">
      <c r="A6" t="s">
        <v>75</v>
      </c>
      <c r="B6" t="s">
        <v>9</v>
      </c>
      <c r="C6">
        <v>9</v>
      </c>
    </row>
    <row r="7" spans="1:3" x14ac:dyDescent="0.45">
      <c r="A7" t="s">
        <v>81</v>
      </c>
      <c r="B7" t="s">
        <v>9</v>
      </c>
      <c r="C7">
        <v>9</v>
      </c>
    </row>
    <row r="8" spans="1:3" x14ac:dyDescent="0.45">
      <c r="A8" t="s">
        <v>8</v>
      </c>
      <c r="B8" t="s">
        <v>9</v>
      </c>
      <c r="C8">
        <v>9</v>
      </c>
    </row>
    <row r="9" spans="1:3" x14ac:dyDescent="0.45">
      <c r="A9" t="s">
        <v>85</v>
      </c>
      <c r="B9" t="s">
        <v>9</v>
      </c>
      <c r="C9">
        <v>9</v>
      </c>
    </row>
    <row r="10" spans="1:3" x14ac:dyDescent="0.45">
      <c r="A10" t="s">
        <v>172</v>
      </c>
      <c r="B10" t="s">
        <v>9</v>
      </c>
      <c r="C10">
        <v>8</v>
      </c>
    </row>
    <row r="11" spans="1:3" x14ac:dyDescent="0.45">
      <c r="A11" t="s">
        <v>76</v>
      </c>
      <c r="B11" t="s">
        <v>9</v>
      </c>
      <c r="C11">
        <v>8</v>
      </c>
    </row>
    <row r="12" spans="1:3" x14ac:dyDescent="0.45">
      <c r="A12" t="s">
        <v>51</v>
      </c>
      <c r="B12" t="s">
        <v>9</v>
      </c>
      <c r="C12">
        <v>8</v>
      </c>
    </row>
    <row r="13" spans="1:3" x14ac:dyDescent="0.45">
      <c r="A13" t="s">
        <v>70</v>
      </c>
      <c r="B13" t="s">
        <v>9</v>
      </c>
      <c r="C13">
        <v>8</v>
      </c>
    </row>
    <row r="14" spans="1:3" x14ac:dyDescent="0.45">
      <c r="A14" t="s">
        <v>131</v>
      </c>
      <c r="B14" t="s">
        <v>9</v>
      </c>
      <c r="C14">
        <v>8</v>
      </c>
    </row>
    <row r="15" spans="1:3" x14ac:dyDescent="0.45">
      <c r="A15" t="s">
        <v>188</v>
      </c>
      <c r="B15" t="s">
        <v>9</v>
      </c>
      <c r="C15">
        <v>7</v>
      </c>
    </row>
    <row r="16" spans="1:3" x14ac:dyDescent="0.45">
      <c r="A16" t="s">
        <v>165</v>
      </c>
      <c r="B16" t="s">
        <v>9</v>
      </c>
      <c r="C16">
        <v>7</v>
      </c>
    </row>
    <row r="17" spans="1:3" x14ac:dyDescent="0.45">
      <c r="A17" t="s">
        <v>114</v>
      </c>
      <c r="B17" t="s">
        <v>9</v>
      </c>
      <c r="C17">
        <v>7</v>
      </c>
    </row>
    <row r="18" spans="1:3" x14ac:dyDescent="0.45">
      <c r="A18" t="s">
        <v>189</v>
      </c>
      <c r="B18" t="s">
        <v>9</v>
      </c>
      <c r="C18">
        <v>7</v>
      </c>
    </row>
    <row r="19" spans="1:3" x14ac:dyDescent="0.45">
      <c r="A19" t="s">
        <v>127</v>
      </c>
      <c r="B19" t="s">
        <v>9</v>
      </c>
      <c r="C19">
        <v>7</v>
      </c>
    </row>
    <row r="20" spans="1:3" x14ac:dyDescent="0.45">
      <c r="A20" t="s">
        <v>108</v>
      </c>
      <c r="B20" t="s">
        <v>9</v>
      </c>
      <c r="C20">
        <v>7</v>
      </c>
    </row>
    <row r="21" spans="1:3" x14ac:dyDescent="0.45">
      <c r="A21" t="s">
        <v>190</v>
      </c>
      <c r="B21" t="s">
        <v>9</v>
      </c>
      <c r="C21">
        <v>7</v>
      </c>
    </row>
    <row r="22" spans="1:3" x14ac:dyDescent="0.45">
      <c r="A22" t="s">
        <v>64</v>
      </c>
      <c r="B22" t="s">
        <v>9</v>
      </c>
      <c r="C22">
        <v>6</v>
      </c>
    </row>
    <row r="23" spans="1:3" x14ac:dyDescent="0.45">
      <c r="A23" t="s">
        <v>153</v>
      </c>
      <c r="B23" t="s">
        <v>9</v>
      </c>
      <c r="C23">
        <v>6</v>
      </c>
    </row>
    <row r="24" spans="1:3" x14ac:dyDescent="0.45">
      <c r="A24" t="s">
        <v>150</v>
      </c>
      <c r="B24" t="s">
        <v>9</v>
      </c>
      <c r="C24">
        <v>6</v>
      </c>
    </row>
    <row r="25" spans="1:3" x14ac:dyDescent="0.45">
      <c r="A25" t="s">
        <v>191</v>
      </c>
      <c r="B25" t="s">
        <v>9</v>
      </c>
      <c r="C25">
        <v>5</v>
      </c>
    </row>
    <row r="26" spans="1:3" x14ac:dyDescent="0.45">
      <c r="A26" t="s">
        <v>192</v>
      </c>
      <c r="B26" t="s">
        <v>9</v>
      </c>
      <c r="C26">
        <v>5</v>
      </c>
    </row>
    <row r="27" spans="1:3" x14ac:dyDescent="0.45">
      <c r="A27" t="s">
        <v>193</v>
      </c>
      <c r="B27" t="s">
        <v>9</v>
      </c>
      <c r="C27">
        <v>5</v>
      </c>
    </row>
    <row r="28" spans="1:3" x14ac:dyDescent="0.45">
      <c r="A28" t="s">
        <v>194</v>
      </c>
      <c r="B28" t="s">
        <v>9</v>
      </c>
      <c r="C28">
        <v>5</v>
      </c>
    </row>
    <row r="29" spans="1:3" x14ac:dyDescent="0.45">
      <c r="A29" t="s">
        <v>169</v>
      </c>
      <c r="B29" t="s">
        <v>9</v>
      </c>
      <c r="C29">
        <v>5</v>
      </c>
    </row>
    <row r="30" spans="1:3" x14ac:dyDescent="0.45">
      <c r="A30" t="s">
        <v>195</v>
      </c>
      <c r="B30" t="s">
        <v>9</v>
      </c>
      <c r="C30">
        <v>5</v>
      </c>
    </row>
    <row r="31" spans="1:3" x14ac:dyDescent="0.45">
      <c r="A31" t="s">
        <v>86</v>
      </c>
      <c r="B31" t="s">
        <v>9</v>
      </c>
      <c r="C31">
        <v>5</v>
      </c>
    </row>
    <row r="32" spans="1:3" x14ac:dyDescent="0.45">
      <c r="A32" t="s">
        <v>196</v>
      </c>
      <c r="B32" t="s">
        <v>9</v>
      </c>
      <c r="C32">
        <v>5</v>
      </c>
    </row>
    <row r="33" spans="1:3" x14ac:dyDescent="0.45">
      <c r="A33" t="s">
        <v>121</v>
      </c>
      <c r="B33" t="s">
        <v>9</v>
      </c>
      <c r="C33">
        <v>5</v>
      </c>
    </row>
    <row r="34" spans="1:3" x14ac:dyDescent="0.45">
      <c r="A34" t="s">
        <v>140</v>
      </c>
      <c r="B34" t="s">
        <v>9</v>
      </c>
      <c r="C34">
        <v>5</v>
      </c>
    </row>
    <row r="35" spans="1:3" x14ac:dyDescent="0.45">
      <c r="A35" t="s">
        <v>197</v>
      </c>
      <c r="B35" t="s">
        <v>9</v>
      </c>
      <c r="C35">
        <v>5</v>
      </c>
    </row>
    <row r="36" spans="1:3" x14ac:dyDescent="0.45">
      <c r="A36" t="s">
        <v>142</v>
      </c>
      <c r="B36" t="s">
        <v>9</v>
      </c>
      <c r="C36">
        <v>5</v>
      </c>
    </row>
    <row r="37" spans="1:3" x14ac:dyDescent="0.45">
      <c r="A37" t="s">
        <v>49</v>
      </c>
      <c r="B37" t="s">
        <v>9</v>
      </c>
      <c r="C37">
        <v>4</v>
      </c>
    </row>
    <row r="38" spans="1:3" x14ac:dyDescent="0.45">
      <c r="A38" t="s">
        <v>198</v>
      </c>
      <c r="B38" t="s">
        <v>9</v>
      </c>
      <c r="C38">
        <v>4</v>
      </c>
    </row>
    <row r="39" spans="1:3" x14ac:dyDescent="0.45">
      <c r="A39" t="s">
        <v>199</v>
      </c>
      <c r="B39" t="s">
        <v>9</v>
      </c>
      <c r="C39">
        <v>4</v>
      </c>
    </row>
    <row r="40" spans="1:3" x14ac:dyDescent="0.45">
      <c r="A40" t="s">
        <v>103</v>
      </c>
      <c r="B40" t="s">
        <v>9</v>
      </c>
      <c r="C40">
        <v>4</v>
      </c>
    </row>
    <row r="41" spans="1:3" x14ac:dyDescent="0.45">
      <c r="A41" t="s">
        <v>144</v>
      </c>
      <c r="B41" t="s">
        <v>9</v>
      </c>
      <c r="C41">
        <v>4</v>
      </c>
    </row>
    <row r="42" spans="1:3" x14ac:dyDescent="0.45">
      <c r="A42" t="s">
        <v>141</v>
      </c>
      <c r="B42" t="s">
        <v>9</v>
      </c>
      <c r="C42">
        <v>4</v>
      </c>
    </row>
    <row r="43" spans="1:3" x14ac:dyDescent="0.45">
      <c r="A43" t="s">
        <v>91</v>
      </c>
      <c r="B43" t="s">
        <v>9</v>
      </c>
      <c r="C43">
        <v>4</v>
      </c>
    </row>
    <row r="44" spans="1:3" x14ac:dyDescent="0.45">
      <c r="A44" t="s">
        <v>50</v>
      </c>
      <c r="B44" t="s">
        <v>9</v>
      </c>
      <c r="C44">
        <v>4</v>
      </c>
    </row>
    <row r="45" spans="1:3" x14ac:dyDescent="0.45">
      <c r="A45" t="s">
        <v>200</v>
      </c>
      <c r="B45" t="s">
        <v>9</v>
      </c>
      <c r="C45">
        <v>4</v>
      </c>
    </row>
    <row r="46" spans="1:3" x14ac:dyDescent="0.45">
      <c r="A46" t="s">
        <v>201</v>
      </c>
      <c r="B46" t="s">
        <v>9</v>
      </c>
      <c r="C46">
        <v>4</v>
      </c>
    </row>
    <row r="47" spans="1:3" x14ac:dyDescent="0.45">
      <c r="A47" t="s">
        <v>202</v>
      </c>
      <c r="B47" t="s">
        <v>9</v>
      </c>
      <c r="C47">
        <v>4</v>
      </c>
    </row>
    <row r="48" spans="1:3" x14ac:dyDescent="0.45">
      <c r="A48" t="s">
        <v>203</v>
      </c>
      <c r="B48" t="s">
        <v>9</v>
      </c>
      <c r="C48">
        <v>3</v>
      </c>
    </row>
    <row r="49" spans="1:3" x14ac:dyDescent="0.45">
      <c r="A49" t="s">
        <v>204</v>
      </c>
      <c r="B49" t="s">
        <v>9</v>
      </c>
      <c r="C49">
        <v>3</v>
      </c>
    </row>
    <row r="50" spans="1:3" x14ac:dyDescent="0.45">
      <c r="A50" t="s">
        <v>160</v>
      </c>
      <c r="B50" t="s">
        <v>9</v>
      </c>
      <c r="C50">
        <v>3</v>
      </c>
    </row>
    <row r="51" spans="1:3" x14ac:dyDescent="0.45">
      <c r="A51" t="s">
        <v>34</v>
      </c>
      <c r="B51" t="s">
        <v>9</v>
      </c>
      <c r="C51">
        <v>3</v>
      </c>
    </row>
    <row r="52" spans="1:3" x14ac:dyDescent="0.45">
      <c r="A52" t="s">
        <v>205</v>
      </c>
      <c r="B52" t="s">
        <v>9</v>
      </c>
      <c r="C52">
        <v>3</v>
      </c>
    </row>
    <row r="53" spans="1:3" x14ac:dyDescent="0.45">
      <c r="A53" t="s">
        <v>206</v>
      </c>
      <c r="B53" t="s">
        <v>9</v>
      </c>
      <c r="C53">
        <v>3</v>
      </c>
    </row>
    <row r="54" spans="1:3" x14ac:dyDescent="0.45">
      <c r="A54" t="s">
        <v>21</v>
      </c>
      <c r="B54" t="s">
        <v>9</v>
      </c>
      <c r="C54">
        <v>3</v>
      </c>
    </row>
    <row r="55" spans="1:3" x14ac:dyDescent="0.45">
      <c r="A55" t="s">
        <v>41</v>
      </c>
      <c r="B55" t="s">
        <v>9</v>
      </c>
      <c r="C55">
        <v>3</v>
      </c>
    </row>
    <row r="56" spans="1:3" x14ac:dyDescent="0.45">
      <c r="A56" t="s">
        <v>207</v>
      </c>
      <c r="B56" t="s">
        <v>9</v>
      </c>
      <c r="C56">
        <v>3</v>
      </c>
    </row>
    <row r="57" spans="1:3" x14ac:dyDescent="0.45">
      <c r="A57" t="s">
        <v>147</v>
      </c>
      <c r="B57" t="s">
        <v>9</v>
      </c>
      <c r="C57">
        <v>3</v>
      </c>
    </row>
    <row r="58" spans="1:3" x14ac:dyDescent="0.45">
      <c r="A58" t="s">
        <v>208</v>
      </c>
      <c r="B58" t="s">
        <v>9</v>
      </c>
      <c r="C58">
        <v>3</v>
      </c>
    </row>
    <row r="59" spans="1:3" x14ac:dyDescent="0.45">
      <c r="A59" t="s">
        <v>209</v>
      </c>
      <c r="B59" t="s">
        <v>9</v>
      </c>
      <c r="C59">
        <v>3</v>
      </c>
    </row>
    <row r="60" spans="1:3" x14ac:dyDescent="0.45">
      <c r="A60" t="s">
        <v>210</v>
      </c>
      <c r="B60" t="s">
        <v>9</v>
      </c>
      <c r="C60">
        <v>3</v>
      </c>
    </row>
    <row r="61" spans="1:3" x14ac:dyDescent="0.45">
      <c r="A61" t="s">
        <v>211</v>
      </c>
      <c r="B61" t="s">
        <v>9</v>
      </c>
      <c r="C61">
        <v>3</v>
      </c>
    </row>
    <row r="62" spans="1:3" x14ac:dyDescent="0.45">
      <c r="A62" t="s">
        <v>212</v>
      </c>
      <c r="B62" t="s">
        <v>9</v>
      </c>
      <c r="C62">
        <v>3</v>
      </c>
    </row>
    <row r="63" spans="1:3" x14ac:dyDescent="0.45">
      <c r="A63" t="s">
        <v>87</v>
      </c>
      <c r="B63" t="s">
        <v>9</v>
      </c>
      <c r="C63">
        <v>3</v>
      </c>
    </row>
    <row r="64" spans="1:3" x14ac:dyDescent="0.45">
      <c r="A64" t="s">
        <v>213</v>
      </c>
      <c r="B64" t="s">
        <v>9</v>
      </c>
      <c r="C64">
        <v>3</v>
      </c>
    </row>
    <row r="65" spans="1:3" x14ac:dyDescent="0.45">
      <c r="A65" t="s">
        <v>15</v>
      </c>
      <c r="B65" t="s">
        <v>9</v>
      </c>
      <c r="C65">
        <v>3</v>
      </c>
    </row>
    <row r="66" spans="1:3" x14ac:dyDescent="0.45">
      <c r="A66" t="s">
        <v>100</v>
      </c>
      <c r="B66" t="s">
        <v>9</v>
      </c>
      <c r="C66">
        <v>3</v>
      </c>
    </row>
    <row r="67" spans="1:3" x14ac:dyDescent="0.45">
      <c r="A67" t="s">
        <v>99</v>
      </c>
      <c r="B67" t="s">
        <v>9</v>
      </c>
      <c r="C67">
        <v>2</v>
      </c>
    </row>
    <row r="68" spans="1:3" x14ac:dyDescent="0.45">
      <c r="A68" t="s">
        <v>214</v>
      </c>
      <c r="B68" t="s">
        <v>9</v>
      </c>
      <c r="C68">
        <v>2</v>
      </c>
    </row>
    <row r="69" spans="1:3" x14ac:dyDescent="0.45">
      <c r="A69" t="s">
        <v>215</v>
      </c>
      <c r="B69" t="s">
        <v>9</v>
      </c>
      <c r="C69">
        <v>2</v>
      </c>
    </row>
    <row r="70" spans="1:3" x14ac:dyDescent="0.45">
      <c r="A70" t="s">
        <v>216</v>
      </c>
      <c r="B70" t="s">
        <v>9</v>
      </c>
      <c r="C70">
        <v>2</v>
      </c>
    </row>
    <row r="71" spans="1:3" x14ac:dyDescent="0.45">
      <c r="A71" t="s">
        <v>217</v>
      </c>
      <c r="B71" t="s">
        <v>9</v>
      </c>
      <c r="C71">
        <v>2</v>
      </c>
    </row>
    <row r="72" spans="1:3" x14ac:dyDescent="0.45">
      <c r="A72" t="s">
        <v>46</v>
      </c>
      <c r="B72" t="s">
        <v>9</v>
      </c>
      <c r="C72">
        <v>2</v>
      </c>
    </row>
    <row r="73" spans="1:3" x14ac:dyDescent="0.45">
      <c r="A73" t="s">
        <v>218</v>
      </c>
      <c r="B73" t="s">
        <v>9</v>
      </c>
      <c r="C73">
        <v>2</v>
      </c>
    </row>
    <row r="74" spans="1:3" x14ac:dyDescent="0.45">
      <c r="A74" t="s">
        <v>219</v>
      </c>
      <c r="B74" t="s">
        <v>9</v>
      </c>
      <c r="C74">
        <v>2</v>
      </c>
    </row>
    <row r="75" spans="1:3" x14ac:dyDescent="0.45">
      <c r="A75" t="s">
        <v>47</v>
      </c>
      <c r="B75" t="s">
        <v>9</v>
      </c>
      <c r="C75">
        <v>2</v>
      </c>
    </row>
    <row r="76" spans="1:3" x14ac:dyDescent="0.45">
      <c r="A76" t="s">
        <v>220</v>
      </c>
      <c r="B76" t="s">
        <v>9</v>
      </c>
      <c r="C76">
        <v>2</v>
      </c>
    </row>
    <row r="77" spans="1:3" x14ac:dyDescent="0.45">
      <c r="A77" t="s">
        <v>221</v>
      </c>
      <c r="B77" t="s">
        <v>9</v>
      </c>
      <c r="C77">
        <v>2</v>
      </c>
    </row>
    <row r="78" spans="1:3" x14ac:dyDescent="0.45">
      <c r="A78" t="s">
        <v>143</v>
      </c>
      <c r="B78" t="s">
        <v>9</v>
      </c>
      <c r="C78">
        <v>2</v>
      </c>
    </row>
    <row r="79" spans="1:3" x14ac:dyDescent="0.45">
      <c r="A79" t="s">
        <v>222</v>
      </c>
      <c r="B79" t="s">
        <v>9</v>
      </c>
      <c r="C79">
        <v>2</v>
      </c>
    </row>
    <row r="80" spans="1:3" x14ac:dyDescent="0.45">
      <c r="A80" t="s">
        <v>98</v>
      </c>
      <c r="B80" t="s">
        <v>9</v>
      </c>
      <c r="C80">
        <v>2</v>
      </c>
    </row>
    <row r="81" spans="1:3" x14ac:dyDescent="0.45">
      <c r="A81" t="s">
        <v>223</v>
      </c>
      <c r="B81" t="s">
        <v>9</v>
      </c>
      <c r="C81">
        <v>2</v>
      </c>
    </row>
    <row r="82" spans="1:3" x14ac:dyDescent="0.45">
      <c r="A82" t="s">
        <v>224</v>
      </c>
      <c r="B82" t="s">
        <v>9</v>
      </c>
      <c r="C82">
        <v>2</v>
      </c>
    </row>
    <row r="83" spans="1:3" x14ac:dyDescent="0.45">
      <c r="A83" t="s">
        <v>225</v>
      </c>
      <c r="B83" t="s">
        <v>9</v>
      </c>
      <c r="C83">
        <v>2</v>
      </c>
    </row>
    <row r="84" spans="1:3" x14ac:dyDescent="0.45">
      <c r="A84" t="s">
        <v>226</v>
      </c>
      <c r="B84" t="s">
        <v>9</v>
      </c>
      <c r="C84">
        <v>2</v>
      </c>
    </row>
    <row r="85" spans="1:3" x14ac:dyDescent="0.45">
      <c r="A85" t="s">
        <v>139</v>
      </c>
      <c r="B85" t="s">
        <v>9</v>
      </c>
      <c r="C85">
        <v>2</v>
      </c>
    </row>
    <row r="86" spans="1:3" x14ac:dyDescent="0.45">
      <c r="A86" t="s">
        <v>227</v>
      </c>
      <c r="B86" t="s">
        <v>9</v>
      </c>
      <c r="C86">
        <v>2</v>
      </c>
    </row>
    <row r="87" spans="1:3" x14ac:dyDescent="0.45">
      <c r="A87" t="s">
        <v>228</v>
      </c>
      <c r="B87" t="s">
        <v>9</v>
      </c>
      <c r="C87">
        <v>2</v>
      </c>
    </row>
    <row r="88" spans="1:3" x14ac:dyDescent="0.45">
      <c r="A88" t="s">
        <v>229</v>
      </c>
      <c r="B88" t="s">
        <v>9</v>
      </c>
      <c r="C88">
        <v>2</v>
      </c>
    </row>
    <row r="89" spans="1:3" x14ac:dyDescent="0.45">
      <c r="A89" t="s">
        <v>135</v>
      </c>
      <c r="B89" t="s">
        <v>9</v>
      </c>
      <c r="C89">
        <v>2</v>
      </c>
    </row>
    <row r="90" spans="1:3" x14ac:dyDescent="0.45">
      <c r="A90" t="s">
        <v>230</v>
      </c>
      <c r="B90" t="s">
        <v>9</v>
      </c>
      <c r="C90">
        <v>2</v>
      </c>
    </row>
    <row r="91" spans="1:3" x14ac:dyDescent="0.45">
      <c r="A91" t="s">
        <v>101</v>
      </c>
      <c r="B91" t="s">
        <v>9</v>
      </c>
      <c r="C91">
        <v>2</v>
      </c>
    </row>
    <row r="92" spans="1:3" x14ac:dyDescent="0.45">
      <c r="A92" t="s">
        <v>231</v>
      </c>
      <c r="B92" t="s">
        <v>9</v>
      </c>
      <c r="C92">
        <v>2</v>
      </c>
    </row>
    <row r="93" spans="1:3" x14ac:dyDescent="0.45">
      <c r="A93" t="s">
        <v>232</v>
      </c>
      <c r="B93" t="s">
        <v>9</v>
      </c>
      <c r="C93">
        <v>2</v>
      </c>
    </row>
    <row r="94" spans="1:3" x14ac:dyDescent="0.45">
      <c r="A94" t="s">
        <v>69</v>
      </c>
      <c r="B94" t="s">
        <v>9</v>
      </c>
      <c r="C94">
        <v>2</v>
      </c>
    </row>
    <row r="95" spans="1:3" x14ac:dyDescent="0.45">
      <c r="A95" t="s">
        <v>233</v>
      </c>
      <c r="B95" t="s">
        <v>9</v>
      </c>
      <c r="C95">
        <v>2</v>
      </c>
    </row>
    <row r="96" spans="1:3" x14ac:dyDescent="0.45">
      <c r="A96" t="s">
        <v>234</v>
      </c>
      <c r="B96" t="s">
        <v>9</v>
      </c>
      <c r="C96">
        <v>2</v>
      </c>
    </row>
    <row r="97" spans="1:3" x14ac:dyDescent="0.45">
      <c r="A97" t="s">
        <v>68</v>
      </c>
      <c r="B97" t="s">
        <v>9</v>
      </c>
      <c r="C97">
        <v>2</v>
      </c>
    </row>
    <row r="98" spans="1:3" x14ac:dyDescent="0.45">
      <c r="A98" t="s">
        <v>235</v>
      </c>
      <c r="B98" t="s">
        <v>9</v>
      </c>
      <c r="C98">
        <v>2</v>
      </c>
    </row>
    <row r="99" spans="1:3" x14ac:dyDescent="0.45">
      <c r="A99" t="s">
        <v>236</v>
      </c>
      <c r="B99" t="s">
        <v>9</v>
      </c>
      <c r="C99">
        <v>2</v>
      </c>
    </row>
    <row r="100" spans="1:3" x14ac:dyDescent="0.45">
      <c r="A100" t="s">
        <v>237</v>
      </c>
      <c r="B100" t="s">
        <v>9</v>
      </c>
      <c r="C100">
        <v>2</v>
      </c>
    </row>
    <row r="101" spans="1:3" x14ac:dyDescent="0.45">
      <c r="A101" t="s">
        <v>238</v>
      </c>
      <c r="B101" t="s">
        <v>9</v>
      </c>
      <c r="C101">
        <v>2</v>
      </c>
    </row>
    <row r="102" spans="1:3" x14ac:dyDescent="0.45">
      <c r="A102" t="s">
        <v>239</v>
      </c>
      <c r="B102" t="s">
        <v>9</v>
      </c>
      <c r="C102">
        <v>2</v>
      </c>
    </row>
    <row r="103" spans="1:3" x14ac:dyDescent="0.45">
      <c r="A103" t="s">
        <v>240</v>
      </c>
      <c r="B103" t="s">
        <v>9</v>
      </c>
      <c r="C103">
        <v>1</v>
      </c>
    </row>
    <row r="104" spans="1:3" x14ac:dyDescent="0.45">
      <c r="A104" t="s">
        <v>241</v>
      </c>
      <c r="B104" t="s">
        <v>9</v>
      </c>
      <c r="C104">
        <v>1</v>
      </c>
    </row>
    <row r="105" spans="1:3" x14ac:dyDescent="0.45">
      <c r="A105" t="s">
        <v>242</v>
      </c>
      <c r="B105" t="s">
        <v>9</v>
      </c>
      <c r="C105">
        <v>1</v>
      </c>
    </row>
    <row r="106" spans="1:3" x14ac:dyDescent="0.45">
      <c r="A106" t="s">
        <v>243</v>
      </c>
      <c r="B106" t="s">
        <v>9</v>
      </c>
      <c r="C106">
        <v>1</v>
      </c>
    </row>
    <row r="107" spans="1:3" x14ac:dyDescent="0.45">
      <c r="A107" t="s">
        <v>244</v>
      </c>
      <c r="B107" t="s">
        <v>9</v>
      </c>
      <c r="C107">
        <v>1</v>
      </c>
    </row>
    <row r="108" spans="1:3" x14ac:dyDescent="0.45">
      <c r="A108" t="s">
        <v>245</v>
      </c>
      <c r="B108" t="s">
        <v>9</v>
      </c>
      <c r="C108">
        <v>1</v>
      </c>
    </row>
    <row r="109" spans="1:3" x14ac:dyDescent="0.45">
      <c r="A109" t="s">
        <v>246</v>
      </c>
      <c r="B109" t="s">
        <v>9</v>
      </c>
      <c r="C109">
        <v>1</v>
      </c>
    </row>
    <row r="110" spans="1:3" x14ac:dyDescent="0.45">
      <c r="A110" t="s">
        <v>247</v>
      </c>
      <c r="B110" t="s">
        <v>9</v>
      </c>
      <c r="C110">
        <v>1</v>
      </c>
    </row>
    <row r="111" spans="1:3" x14ac:dyDescent="0.45">
      <c r="A111" t="s">
        <v>248</v>
      </c>
      <c r="B111" t="s">
        <v>9</v>
      </c>
      <c r="C111">
        <v>1</v>
      </c>
    </row>
    <row r="112" spans="1:3" x14ac:dyDescent="0.45">
      <c r="A112" t="s">
        <v>249</v>
      </c>
      <c r="B112" t="s">
        <v>9</v>
      </c>
      <c r="C112">
        <v>1</v>
      </c>
    </row>
    <row r="113" spans="1:3" x14ac:dyDescent="0.45">
      <c r="A113" t="s">
        <v>145</v>
      </c>
      <c r="B113" t="s">
        <v>9</v>
      </c>
      <c r="C113">
        <v>1</v>
      </c>
    </row>
    <row r="114" spans="1:3" x14ac:dyDescent="0.45">
      <c r="A114" t="s">
        <v>250</v>
      </c>
      <c r="B114" t="s">
        <v>9</v>
      </c>
      <c r="C114">
        <v>1</v>
      </c>
    </row>
    <row r="115" spans="1:3" x14ac:dyDescent="0.45">
      <c r="A115" t="s">
        <v>251</v>
      </c>
      <c r="B115" t="s">
        <v>9</v>
      </c>
      <c r="C115">
        <v>1</v>
      </c>
    </row>
    <row r="116" spans="1:3" x14ac:dyDescent="0.45">
      <c r="A116" t="s">
        <v>252</v>
      </c>
      <c r="B116" t="s">
        <v>9</v>
      </c>
      <c r="C116">
        <v>1</v>
      </c>
    </row>
    <row r="117" spans="1:3" x14ac:dyDescent="0.45">
      <c r="A117" t="s">
        <v>253</v>
      </c>
      <c r="B117" t="s">
        <v>9</v>
      </c>
      <c r="C117">
        <v>1</v>
      </c>
    </row>
    <row r="118" spans="1:3" x14ac:dyDescent="0.45">
      <c r="A118" t="s">
        <v>146</v>
      </c>
      <c r="B118" t="s">
        <v>9</v>
      </c>
      <c r="C118">
        <v>1</v>
      </c>
    </row>
    <row r="119" spans="1:3" x14ac:dyDescent="0.45">
      <c r="A119" t="s">
        <v>254</v>
      </c>
      <c r="B119" t="s">
        <v>9</v>
      </c>
      <c r="C119">
        <v>1</v>
      </c>
    </row>
    <row r="120" spans="1:3" x14ac:dyDescent="0.45">
      <c r="A120" t="s">
        <v>255</v>
      </c>
      <c r="B120" t="s">
        <v>9</v>
      </c>
      <c r="C120">
        <v>1</v>
      </c>
    </row>
    <row r="121" spans="1:3" x14ac:dyDescent="0.45">
      <c r="A121" t="s">
        <v>256</v>
      </c>
      <c r="B121" t="s">
        <v>9</v>
      </c>
      <c r="C121">
        <v>1</v>
      </c>
    </row>
    <row r="122" spans="1:3" x14ac:dyDescent="0.45">
      <c r="A122" t="s">
        <v>257</v>
      </c>
      <c r="B122" t="s">
        <v>9</v>
      </c>
      <c r="C122">
        <v>1</v>
      </c>
    </row>
    <row r="123" spans="1:3" x14ac:dyDescent="0.45">
      <c r="A123" t="s">
        <v>258</v>
      </c>
      <c r="B123" t="s">
        <v>9</v>
      </c>
      <c r="C123">
        <v>1</v>
      </c>
    </row>
    <row r="124" spans="1:3" x14ac:dyDescent="0.45">
      <c r="A124" t="s">
        <v>259</v>
      </c>
      <c r="B124" t="s">
        <v>9</v>
      </c>
      <c r="C124">
        <v>1</v>
      </c>
    </row>
    <row r="125" spans="1:3" x14ac:dyDescent="0.45">
      <c r="A125" t="s">
        <v>48</v>
      </c>
      <c r="B125" t="s">
        <v>9</v>
      </c>
      <c r="C125">
        <v>1</v>
      </c>
    </row>
    <row r="126" spans="1:3" x14ac:dyDescent="0.45">
      <c r="A126" t="s">
        <v>260</v>
      </c>
      <c r="B126" t="s">
        <v>9</v>
      </c>
      <c r="C126">
        <v>1</v>
      </c>
    </row>
    <row r="127" spans="1:3" x14ac:dyDescent="0.45">
      <c r="A127" t="s">
        <v>261</v>
      </c>
      <c r="B127" t="s">
        <v>9</v>
      </c>
      <c r="C127">
        <v>1</v>
      </c>
    </row>
    <row r="128" spans="1:3" x14ac:dyDescent="0.45">
      <c r="A128" t="s">
        <v>262</v>
      </c>
      <c r="B128" t="s">
        <v>9</v>
      </c>
      <c r="C128">
        <v>1</v>
      </c>
    </row>
    <row r="129" spans="1:3" x14ac:dyDescent="0.45">
      <c r="A129" t="s">
        <v>263</v>
      </c>
      <c r="B129" t="s">
        <v>9</v>
      </c>
      <c r="C129">
        <v>1</v>
      </c>
    </row>
    <row r="130" spans="1:3" x14ac:dyDescent="0.45">
      <c r="A130" t="s">
        <v>264</v>
      </c>
      <c r="B130" t="s">
        <v>9</v>
      </c>
      <c r="C130">
        <v>1</v>
      </c>
    </row>
    <row r="131" spans="1:3" x14ac:dyDescent="0.45">
      <c r="A131" t="s">
        <v>29</v>
      </c>
      <c r="B131" t="s">
        <v>9</v>
      </c>
      <c r="C131">
        <v>1</v>
      </c>
    </row>
    <row r="132" spans="1:3" x14ac:dyDescent="0.45">
      <c r="A132" t="s">
        <v>55</v>
      </c>
      <c r="B132" t="s">
        <v>9</v>
      </c>
      <c r="C132">
        <v>1</v>
      </c>
    </row>
    <row r="133" spans="1:3" x14ac:dyDescent="0.45">
      <c r="A133" t="s">
        <v>265</v>
      </c>
      <c r="B133" t="s">
        <v>9</v>
      </c>
      <c r="C133">
        <v>1</v>
      </c>
    </row>
    <row r="134" spans="1:3" x14ac:dyDescent="0.45">
      <c r="A134" t="s">
        <v>266</v>
      </c>
      <c r="B134" t="s">
        <v>9</v>
      </c>
      <c r="C134">
        <v>1</v>
      </c>
    </row>
    <row r="135" spans="1:3" x14ac:dyDescent="0.45">
      <c r="A135" t="s">
        <v>267</v>
      </c>
      <c r="B135" t="s">
        <v>9</v>
      </c>
      <c r="C135">
        <v>1</v>
      </c>
    </row>
    <row r="136" spans="1:3" x14ac:dyDescent="0.45">
      <c r="A136" t="s">
        <v>268</v>
      </c>
      <c r="B136" t="s">
        <v>9</v>
      </c>
      <c r="C136">
        <v>1</v>
      </c>
    </row>
    <row r="137" spans="1:3" x14ac:dyDescent="0.45">
      <c r="A137" t="s">
        <v>102</v>
      </c>
      <c r="B137" t="s">
        <v>9</v>
      </c>
      <c r="C137">
        <v>1</v>
      </c>
    </row>
    <row r="138" spans="1:3" x14ac:dyDescent="0.45">
      <c r="A138" t="s">
        <v>269</v>
      </c>
      <c r="B138" t="s">
        <v>9</v>
      </c>
      <c r="C138">
        <v>1</v>
      </c>
    </row>
    <row r="139" spans="1:3" x14ac:dyDescent="0.45">
      <c r="A139" t="s">
        <v>270</v>
      </c>
      <c r="B139" t="s">
        <v>9</v>
      </c>
      <c r="C139">
        <v>1</v>
      </c>
    </row>
    <row r="140" spans="1:3" x14ac:dyDescent="0.45">
      <c r="A140" t="s">
        <v>271</v>
      </c>
      <c r="B140" t="s">
        <v>9</v>
      </c>
      <c r="C140">
        <v>1</v>
      </c>
    </row>
    <row r="141" spans="1:3" x14ac:dyDescent="0.45">
      <c r="A141" t="s">
        <v>272</v>
      </c>
      <c r="B141" t="s">
        <v>9</v>
      </c>
      <c r="C141">
        <v>1</v>
      </c>
    </row>
    <row r="142" spans="1:3" x14ac:dyDescent="0.45">
      <c r="A142" t="s">
        <v>273</v>
      </c>
      <c r="B142" t="s">
        <v>9</v>
      </c>
      <c r="C142">
        <v>1</v>
      </c>
    </row>
    <row r="143" spans="1:3" x14ac:dyDescent="0.45">
      <c r="A143" t="s">
        <v>274</v>
      </c>
      <c r="B143" t="s">
        <v>9</v>
      </c>
      <c r="C143">
        <v>1</v>
      </c>
    </row>
    <row r="144" spans="1:3" x14ac:dyDescent="0.45">
      <c r="A144" t="s">
        <v>275</v>
      </c>
      <c r="B144" t="s">
        <v>9</v>
      </c>
      <c r="C144">
        <v>1</v>
      </c>
    </row>
    <row r="145" spans="1:3" x14ac:dyDescent="0.45">
      <c r="A145" t="s">
        <v>276</v>
      </c>
      <c r="B145" t="s">
        <v>9</v>
      </c>
      <c r="C145">
        <v>1</v>
      </c>
    </row>
    <row r="146" spans="1:3" x14ac:dyDescent="0.45">
      <c r="A146" t="s">
        <v>277</v>
      </c>
      <c r="B146" t="s">
        <v>9</v>
      </c>
      <c r="C146">
        <v>1</v>
      </c>
    </row>
    <row r="147" spans="1:3" x14ac:dyDescent="0.45">
      <c r="A147" t="s">
        <v>104</v>
      </c>
      <c r="B147" t="s">
        <v>9</v>
      </c>
      <c r="C147">
        <v>1</v>
      </c>
    </row>
    <row r="148" spans="1:3" x14ac:dyDescent="0.45">
      <c r="A148" t="s">
        <v>278</v>
      </c>
      <c r="B148" t="s">
        <v>9</v>
      </c>
      <c r="C148">
        <v>1</v>
      </c>
    </row>
    <row r="149" spans="1:3" x14ac:dyDescent="0.45">
      <c r="A149" t="s">
        <v>279</v>
      </c>
      <c r="B149" t="s">
        <v>9</v>
      </c>
      <c r="C14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25" x14ac:dyDescent="0.45"/>
  <cols>
    <col min="1" max="1" width="13.796875" bestFit="1" customWidth="1"/>
  </cols>
  <sheetData>
    <row r="1" spans="1:1" x14ac:dyDescent="0.45">
      <c r="A1" s="1" t="s">
        <v>187</v>
      </c>
    </row>
    <row r="2" spans="1:1" x14ac:dyDescent="0.45">
      <c r="A2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0"/>
  <sheetViews>
    <sheetView workbookViewId="0">
      <selection activeCell="H9" sqref="H9"/>
    </sheetView>
  </sheetViews>
  <sheetFormatPr defaultRowHeight="14.25" x14ac:dyDescent="0.45"/>
  <cols>
    <col min="1" max="1" width="27.06640625" bestFit="1" customWidth="1"/>
  </cols>
  <sheetData>
    <row r="1" spans="1:6" x14ac:dyDescent="0.45">
      <c r="A1" s="1" t="s">
        <v>0</v>
      </c>
      <c r="B1" s="1" t="s">
        <v>182</v>
      </c>
      <c r="C1" s="1" t="s">
        <v>183</v>
      </c>
      <c r="D1" s="1" t="s">
        <v>184</v>
      </c>
      <c r="E1" s="1" t="s">
        <v>280</v>
      </c>
      <c r="F1" s="1" t="s">
        <v>281</v>
      </c>
    </row>
    <row r="2" spans="1:6" x14ac:dyDescent="0.45">
      <c r="A2" t="s">
        <v>64</v>
      </c>
      <c r="B2">
        <v>2</v>
      </c>
      <c r="C2">
        <v>1</v>
      </c>
      <c r="D2">
        <v>2</v>
      </c>
      <c r="E2">
        <v>5</v>
      </c>
      <c r="F2">
        <v>6</v>
      </c>
    </row>
    <row r="3" spans="1:6" x14ac:dyDescent="0.45">
      <c r="A3" s="13" t="s">
        <v>75</v>
      </c>
      <c r="B3" s="13">
        <v>2</v>
      </c>
      <c r="C3" s="13">
        <v>0</v>
      </c>
      <c r="D3" s="13">
        <v>2</v>
      </c>
      <c r="E3" s="13">
        <v>4</v>
      </c>
      <c r="F3" s="13">
        <v>13</v>
      </c>
    </row>
    <row r="4" spans="1:6" x14ac:dyDescent="0.45">
      <c r="A4" s="13" t="s">
        <v>37</v>
      </c>
      <c r="B4" s="13">
        <v>1</v>
      </c>
      <c r="C4" s="13">
        <v>2</v>
      </c>
      <c r="D4" s="13">
        <v>1</v>
      </c>
      <c r="E4" s="13">
        <v>4</v>
      </c>
      <c r="F4" s="13">
        <v>11</v>
      </c>
    </row>
    <row r="5" spans="1:6" x14ac:dyDescent="0.45">
      <c r="A5" s="13" t="s">
        <v>85</v>
      </c>
      <c r="B5" s="13">
        <v>3</v>
      </c>
      <c r="C5" s="13">
        <v>1</v>
      </c>
      <c r="D5" s="13">
        <v>0</v>
      </c>
      <c r="E5" s="13">
        <v>4</v>
      </c>
      <c r="F5" s="13">
        <v>11</v>
      </c>
    </row>
    <row r="6" spans="1:6" x14ac:dyDescent="0.45">
      <c r="A6" t="s">
        <v>103</v>
      </c>
      <c r="B6">
        <v>1</v>
      </c>
      <c r="C6">
        <v>2</v>
      </c>
      <c r="D6">
        <v>1</v>
      </c>
      <c r="E6">
        <v>4</v>
      </c>
      <c r="F6">
        <v>6</v>
      </c>
    </row>
    <row r="7" spans="1:6" x14ac:dyDescent="0.45">
      <c r="A7" t="s">
        <v>49</v>
      </c>
      <c r="B7">
        <v>0</v>
      </c>
      <c r="C7">
        <v>4</v>
      </c>
      <c r="D7">
        <v>0</v>
      </c>
      <c r="E7">
        <v>4</v>
      </c>
      <c r="F7">
        <v>4</v>
      </c>
    </row>
    <row r="8" spans="1:6" x14ac:dyDescent="0.45">
      <c r="A8" t="s">
        <v>41</v>
      </c>
      <c r="B8">
        <v>4</v>
      </c>
      <c r="C8">
        <v>0</v>
      </c>
      <c r="D8">
        <v>0</v>
      </c>
      <c r="E8">
        <v>4</v>
      </c>
      <c r="F8">
        <v>4</v>
      </c>
    </row>
    <row r="9" spans="1:6" x14ac:dyDescent="0.45">
      <c r="A9" t="s">
        <v>50</v>
      </c>
      <c r="B9">
        <v>1</v>
      </c>
      <c r="C9">
        <v>1</v>
      </c>
      <c r="D9">
        <v>2</v>
      </c>
      <c r="E9">
        <v>4</v>
      </c>
      <c r="F9">
        <v>4</v>
      </c>
    </row>
    <row r="10" spans="1:6" x14ac:dyDescent="0.45">
      <c r="A10" t="s">
        <v>8</v>
      </c>
      <c r="B10">
        <v>1</v>
      </c>
      <c r="C10">
        <v>2</v>
      </c>
      <c r="D10">
        <v>0</v>
      </c>
      <c r="E10">
        <v>3</v>
      </c>
      <c r="F10">
        <v>12</v>
      </c>
    </row>
    <row r="11" spans="1:6" x14ac:dyDescent="0.45">
      <c r="A11" t="s">
        <v>70</v>
      </c>
      <c r="B11">
        <v>1</v>
      </c>
      <c r="C11">
        <v>1</v>
      </c>
      <c r="D11">
        <v>1</v>
      </c>
      <c r="E11">
        <v>3</v>
      </c>
      <c r="F11">
        <v>11</v>
      </c>
    </row>
    <row r="12" spans="1:6" x14ac:dyDescent="0.45">
      <c r="A12" s="13" t="s">
        <v>131</v>
      </c>
      <c r="B12" s="13">
        <v>1</v>
      </c>
      <c r="C12" s="13">
        <v>1</v>
      </c>
      <c r="D12" s="13">
        <v>1</v>
      </c>
      <c r="E12" s="13">
        <v>3</v>
      </c>
      <c r="F12" s="13">
        <v>10</v>
      </c>
    </row>
    <row r="13" spans="1:6" x14ac:dyDescent="0.45">
      <c r="A13" t="s">
        <v>86</v>
      </c>
      <c r="B13">
        <v>1</v>
      </c>
      <c r="C13">
        <v>1</v>
      </c>
      <c r="D13">
        <v>1</v>
      </c>
      <c r="E13">
        <v>3</v>
      </c>
      <c r="F13">
        <v>7</v>
      </c>
    </row>
    <row r="14" spans="1:6" x14ac:dyDescent="0.45">
      <c r="A14" t="s">
        <v>140</v>
      </c>
      <c r="B14">
        <v>1</v>
      </c>
      <c r="C14">
        <v>1</v>
      </c>
      <c r="D14">
        <v>1</v>
      </c>
      <c r="E14">
        <v>3</v>
      </c>
      <c r="F14">
        <v>6</v>
      </c>
    </row>
    <row r="15" spans="1:6" x14ac:dyDescent="0.45">
      <c r="A15" t="s">
        <v>91</v>
      </c>
      <c r="B15">
        <v>2</v>
      </c>
      <c r="C15">
        <v>0</v>
      </c>
      <c r="D15">
        <v>1</v>
      </c>
      <c r="E15">
        <v>3</v>
      </c>
      <c r="F15">
        <v>4</v>
      </c>
    </row>
    <row r="16" spans="1:6" x14ac:dyDescent="0.45">
      <c r="A16" t="s">
        <v>46</v>
      </c>
      <c r="B16">
        <v>2</v>
      </c>
      <c r="C16">
        <v>0</v>
      </c>
      <c r="D16">
        <v>1</v>
      </c>
      <c r="E16">
        <v>3</v>
      </c>
      <c r="F16">
        <v>3</v>
      </c>
    </row>
    <row r="17" spans="1:6" x14ac:dyDescent="0.45">
      <c r="A17" t="s">
        <v>47</v>
      </c>
      <c r="B17">
        <v>0</v>
      </c>
      <c r="C17">
        <v>2</v>
      </c>
      <c r="D17">
        <v>1</v>
      </c>
      <c r="E17">
        <v>3</v>
      </c>
      <c r="F17">
        <v>3</v>
      </c>
    </row>
    <row r="18" spans="1:6" x14ac:dyDescent="0.45">
      <c r="A18" t="s">
        <v>98</v>
      </c>
      <c r="B18">
        <v>1</v>
      </c>
      <c r="C18">
        <v>2</v>
      </c>
      <c r="D18">
        <v>0</v>
      </c>
      <c r="E18">
        <v>3</v>
      </c>
      <c r="F18">
        <v>3</v>
      </c>
    </row>
    <row r="19" spans="1:6" x14ac:dyDescent="0.45">
      <c r="A19" t="s">
        <v>87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 x14ac:dyDescent="0.45">
      <c r="A20" t="s">
        <v>109</v>
      </c>
      <c r="B20">
        <v>0</v>
      </c>
      <c r="C20">
        <v>1</v>
      </c>
      <c r="D20">
        <v>1</v>
      </c>
      <c r="E20">
        <v>2</v>
      </c>
      <c r="F20">
        <v>11</v>
      </c>
    </row>
    <row r="21" spans="1:6" x14ac:dyDescent="0.45">
      <c r="A21" t="s">
        <v>55</v>
      </c>
      <c r="B21">
        <v>0</v>
      </c>
      <c r="C21">
        <v>0</v>
      </c>
      <c r="D21">
        <v>2</v>
      </c>
      <c r="E21">
        <v>2</v>
      </c>
      <c r="F21">
        <v>10</v>
      </c>
    </row>
    <row r="22" spans="1:6" x14ac:dyDescent="0.45">
      <c r="A22" t="s">
        <v>76</v>
      </c>
      <c r="B22">
        <v>0</v>
      </c>
      <c r="C22">
        <v>2</v>
      </c>
      <c r="D22">
        <v>0</v>
      </c>
      <c r="E22">
        <v>2</v>
      </c>
      <c r="F22">
        <v>8</v>
      </c>
    </row>
    <row r="23" spans="1:6" x14ac:dyDescent="0.45">
      <c r="A23" t="s">
        <v>121</v>
      </c>
      <c r="B23">
        <v>0</v>
      </c>
      <c r="C23">
        <v>1</v>
      </c>
      <c r="D23">
        <v>1</v>
      </c>
      <c r="E23">
        <v>2</v>
      </c>
      <c r="F23">
        <v>5</v>
      </c>
    </row>
    <row r="24" spans="1:6" x14ac:dyDescent="0.45">
      <c r="A24" t="s">
        <v>141</v>
      </c>
      <c r="B24">
        <v>0</v>
      </c>
      <c r="C24">
        <v>2</v>
      </c>
      <c r="D24">
        <v>0</v>
      </c>
      <c r="E24">
        <v>2</v>
      </c>
      <c r="F24">
        <v>4</v>
      </c>
    </row>
    <row r="25" spans="1:6" x14ac:dyDescent="0.45">
      <c r="A25" t="s">
        <v>99</v>
      </c>
      <c r="B25">
        <v>1</v>
      </c>
      <c r="C25">
        <v>1</v>
      </c>
      <c r="D25">
        <v>0</v>
      </c>
      <c r="E25">
        <v>2</v>
      </c>
      <c r="F25">
        <v>3</v>
      </c>
    </row>
    <row r="26" spans="1:6" x14ac:dyDescent="0.45">
      <c r="A26" t="s">
        <v>100</v>
      </c>
      <c r="B26">
        <v>0</v>
      </c>
      <c r="C26">
        <v>0</v>
      </c>
      <c r="D26">
        <v>2</v>
      </c>
      <c r="E26">
        <v>2</v>
      </c>
      <c r="F26">
        <v>3</v>
      </c>
    </row>
    <row r="27" spans="1:6" x14ac:dyDescent="0.45">
      <c r="A27" t="s">
        <v>139</v>
      </c>
      <c r="B27">
        <v>2</v>
      </c>
      <c r="C27">
        <v>0</v>
      </c>
      <c r="D27">
        <v>0</v>
      </c>
      <c r="E27">
        <v>2</v>
      </c>
      <c r="F27">
        <v>2</v>
      </c>
    </row>
    <row r="28" spans="1:6" x14ac:dyDescent="0.45">
      <c r="A28" t="s">
        <v>102</v>
      </c>
      <c r="B28">
        <v>0</v>
      </c>
      <c r="C28">
        <v>1</v>
      </c>
      <c r="D28">
        <v>1</v>
      </c>
      <c r="E28">
        <v>2</v>
      </c>
      <c r="F28">
        <v>2</v>
      </c>
    </row>
    <row r="29" spans="1:6" x14ac:dyDescent="0.45">
      <c r="A29" t="s">
        <v>104</v>
      </c>
      <c r="B29">
        <v>0</v>
      </c>
      <c r="C29">
        <v>0</v>
      </c>
      <c r="D29">
        <v>2</v>
      </c>
      <c r="E29">
        <v>2</v>
      </c>
      <c r="F29">
        <v>2</v>
      </c>
    </row>
    <row r="30" spans="1:6" x14ac:dyDescent="0.45">
      <c r="A30" t="s">
        <v>60</v>
      </c>
      <c r="B30">
        <v>0</v>
      </c>
      <c r="C30">
        <v>1</v>
      </c>
      <c r="D30">
        <v>0</v>
      </c>
      <c r="E30">
        <v>1</v>
      </c>
      <c r="F30">
        <v>12</v>
      </c>
    </row>
    <row r="31" spans="1:6" x14ac:dyDescent="0.45">
      <c r="A31" t="s">
        <v>81</v>
      </c>
      <c r="B31">
        <v>1</v>
      </c>
      <c r="C31">
        <v>0</v>
      </c>
      <c r="D31">
        <v>0</v>
      </c>
      <c r="E31">
        <v>1</v>
      </c>
      <c r="F31">
        <v>11</v>
      </c>
    </row>
    <row r="32" spans="1:6" x14ac:dyDescent="0.45">
      <c r="A32" t="s">
        <v>51</v>
      </c>
      <c r="B32">
        <v>0</v>
      </c>
      <c r="C32">
        <v>1</v>
      </c>
      <c r="D32">
        <v>0</v>
      </c>
      <c r="E32">
        <v>1</v>
      </c>
      <c r="F32">
        <v>10</v>
      </c>
    </row>
    <row r="33" spans="1:6" x14ac:dyDescent="0.45">
      <c r="A33" t="s">
        <v>108</v>
      </c>
      <c r="B33">
        <v>1</v>
      </c>
      <c r="C33">
        <v>0</v>
      </c>
      <c r="D33">
        <v>0</v>
      </c>
      <c r="E33">
        <v>1</v>
      </c>
      <c r="F33">
        <v>10</v>
      </c>
    </row>
    <row r="34" spans="1:6" x14ac:dyDescent="0.45">
      <c r="A34" t="s">
        <v>172</v>
      </c>
      <c r="B34">
        <v>0</v>
      </c>
      <c r="C34">
        <v>0</v>
      </c>
      <c r="D34">
        <v>1</v>
      </c>
      <c r="E34">
        <v>1</v>
      </c>
      <c r="F34">
        <v>9</v>
      </c>
    </row>
    <row r="35" spans="1:6" x14ac:dyDescent="0.45">
      <c r="A35" t="s">
        <v>153</v>
      </c>
      <c r="B35">
        <v>0</v>
      </c>
      <c r="C35">
        <v>0</v>
      </c>
      <c r="D35">
        <v>1</v>
      </c>
      <c r="E35">
        <v>1</v>
      </c>
      <c r="F35">
        <v>8</v>
      </c>
    </row>
    <row r="36" spans="1:6" x14ac:dyDescent="0.45">
      <c r="A36" t="s">
        <v>165</v>
      </c>
      <c r="B36">
        <v>0</v>
      </c>
      <c r="C36">
        <v>1</v>
      </c>
      <c r="D36">
        <v>0</v>
      </c>
      <c r="E36">
        <v>1</v>
      </c>
      <c r="F36">
        <v>7</v>
      </c>
    </row>
    <row r="37" spans="1:6" x14ac:dyDescent="0.45">
      <c r="A37" t="s">
        <v>114</v>
      </c>
      <c r="B37">
        <v>0</v>
      </c>
      <c r="C37">
        <v>1</v>
      </c>
      <c r="D37">
        <v>0</v>
      </c>
      <c r="E37">
        <v>1</v>
      </c>
      <c r="F37">
        <v>7</v>
      </c>
    </row>
    <row r="38" spans="1:6" x14ac:dyDescent="0.45">
      <c r="A38" t="s">
        <v>127</v>
      </c>
      <c r="B38">
        <v>1</v>
      </c>
      <c r="C38">
        <v>0</v>
      </c>
      <c r="D38">
        <v>0</v>
      </c>
      <c r="E38">
        <v>1</v>
      </c>
      <c r="F38">
        <v>7</v>
      </c>
    </row>
    <row r="39" spans="1:6" x14ac:dyDescent="0.45">
      <c r="A39" t="s">
        <v>150</v>
      </c>
      <c r="B39">
        <v>0</v>
      </c>
      <c r="C39">
        <v>1</v>
      </c>
      <c r="D39">
        <v>0</v>
      </c>
      <c r="E39">
        <v>1</v>
      </c>
      <c r="F39">
        <v>7</v>
      </c>
    </row>
    <row r="40" spans="1:6" x14ac:dyDescent="0.45">
      <c r="A40" t="s">
        <v>169</v>
      </c>
      <c r="B40">
        <v>1</v>
      </c>
      <c r="C40">
        <v>0</v>
      </c>
      <c r="D40">
        <v>0</v>
      </c>
      <c r="E40">
        <v>1</v>
      </c>
      <c r="F40">
        <v>6</v>
      </c>
    </row>
    <row r="41" spans="1:6" x14ac:dyDescent="0.45">
      <c r="A41" t="s">
        <v>34</v>
      </c>
      <c r="B41">
        <v>0</v>
      </c>
      <c r="C41">
        <v>1</v>
      </c>
      <c r="D41">
        <v>0</v>
      </c>
      <c r="E41">
        <v>1</v>
      </c>
      <c r="F41">
        <v>5</v>
      </c>
    </row>
    <row r="42" spans="1:6" x14ac:dyDescent="0.45">
      <c r="A42" t="s">
        <v>142</v>
      </c>
      <c r="B42">
        <v>0</v>
      </c>
      <c r="C42">
        <v>1</v>
      </c>
      <c r="D42">
        <v>0</v>
      </c>
      <c r="E42">
        <v>1</v>
      </c>
      <c r="F42">
        <v>5</v>
      </c>
    </row>
    <row r="43" spans="1:6" x14ac:dyDescent="0.45">
      <c r="A43" t="s">
        <v>144</v>
      </c>
      <c r="B43">
        <v>0</v>
      </c>
      <c r="C43">
        <v>0</v>
      </c>
      <c r="D43">
        <v>1</v>
      </c>
      <c r="E43">
        <v>1</v>
      </c>
      <c r="F43">
        <v>4</v>
      </c>
    </row>
    <row r="44" spans="1:6" x14ac:dyDescent="0.45">
      <c r="A44" t="s">
        <v>147</v>
      </c>
      <c r="B44">
        <v>1</v>
      </c>
      <c r="C44">
        <v>0</v>
      </c>
      <c r="D44">
        <v>0</v>
      </c>
      <c r="E44">
        <v>1</v>
      </c>
      <c r="F44">
        <v>4</v>
      </c>
    </row>
    <row r="45" spans="1:6" x14ac:dyDescent="0.45">
      <c r="A45" t="s">
        <v>15</v>
      </c>
      <c r="B45">
        <v>1</v>
      </c>
      <c r="C45">
        <v>0</v>
      </c>
      <c r="D45">
        <v>0</v>
      </c>
      <c r="E45">
        <v>1</v>
      </c>
      <c r="F45">
        <v>4</v>
      </c>
    </row>
    <row r="46" spans="1:6" x14ac:dyDescent="0.45">
      <c r="A46" t="s">
        <v>160</v>
      </c>
      <c r="B46">
        <v>0</v>
      </c>
      <c r="C46">
        <v>0</v>
      </c>
      <c r="D46">
        <v>1</v>
      </c>
      <c r="E46">
        <v>1</v>
      </c>
      <c r="F46">
        <v>3</v>
      </c>
    </row>
    <row r="47" spans="1:6" x14ac:dyDescent="0.45">
      <c r="A47" t="s">
        <v>21</v>
      </c>
      <c r="B47">
        <v>1</v>
      </c>
      <c r="C47">
        <v>0</v>
      </c>
      <c r="D47">
        <v>0</v>
      </c>
      <c r="E47">
        <v>1</v>
      </c>
      <c r="F47">
        <v>3</v>
      </c>
    </row>
    <row r="48" spans="1:6" x14ac:dyDescent="0.45">
      <c r="A48" t="s">
        <v>143</v>
      </c>
      <c r="B48">
        <v>0</v>
      </c>
      <c r="C48">
        <v>1</v>
      </c>
      <c r="D48">
        <v>0</v>
      </c>
      <c r="E48">
        <v>1</v>
      </c>
      <c r="F48">
        <v>2</v>
      </c>
    </row>
    <row r="49" spans="1:6" x14ac:dyDescent="0.45">
      <c r="A49" t="s">
        <v>135</v>
      </c>
      <c r="B49">
        <v>1</v>
      </c>
      <c r="C49">
        <v>0</v>
      </c>
      <c r="D49">
        <v>0</v>
      </c>
      <c r="E49">
        <v>1</v>
      </c>
      <c r="F49">
        <v>2</v>
      </c>
    </row>
    <row r="50" spans="1:6" x14ac:dyDescent="0.45">
      <c r="A50" t="s">
        <v>101</v>
      </c>
      <c r="B50">
        <v>0</v>
      </c>
      <c r="C50">
        <v>0</v>
      </c>
      <c r="D50">
        <v>1</v>
      </c>
      <c r="E50">
        <v>1</v>
      </c>
      <c r="F50">
        <v>2</v>
      </c>
    </row>
    <row r="51" spans="1:6" x14ac:dyDescent="0.45">
      <c r="A51" t="s">
        <v>69</v>
      </c>
      <c r="B51">
        <v>0</v>
      </c>
      <c r="C51">
        <v>0</v>
      </c>
      <c r="D51">
        <v>1</v>
      </c>
      <c r="E51">
        <v>1</v>
      </c>
      <c r="F51">
        <v>2</v>
      </c>
    </row>
    <row r="52" spans="1:6" x14ac:dyDescent="0.45">
      <c r="A52" t="s">
        <v>68</v>
      </c>
      <c r="B52">
        <v>0</v>
      </c>
      <c r="C52">
        <v>1</v>
      </c>
      <c r="D52">
        <v>0</v>
      </c>
      <c r="E52">
        <v>1</v>
      </c>
      <c r="F52">
        <v>2</v>
      </c>
    </row>
    <row r="53" spans="1:6" x14ac:dyDescent="0.45">
      <c r="A53" t="s">
        <v>145</v>
      </c>
      <c r="B53">
        <v>0</v>
      </c>
      <c r="C53">
        <v>0</v>
      </c>
      <c r="D53">
        <v>1</v>
      </c>
      <c r="E53">
        <v>1</v>
      </c>
      <c r="F53">
        <v>1</v>
      </c>
    </row>
    <row r="54" spans="1:6" x14ac:dyDescent="0.45">
      <c r="A54" t="s">
        <v>146</v>
      </c>
      <c r="B54">
        <v>0</v>
      </c>
      <c r="C54">
        <v>0</v>
      </c>
      <c r="D54">
        <v>1</v>
      </c>
      <c r="E54">
        <v>1</v>
      </c>
      <c r="F54">
        <v>1</v>
      </c>
    </row>
    <row r="55" spans="1:6" x14ac:dyDescent="0.45">
      <c r="A55" t="s">
        <v>48</v>
      </c>
      <c r="B55">
        <v>0</v>
      </c>
      <c r="C55">
        <v>1</v>
      </c>
      <c r="D55">
        <v>0</v>
      </c>
      <c r="E55">
        <v>1</v>
      </c>
      <c r="F55">
        <v>1</v>
      </c>
    </row>
    <row r="56" spans="1:6" x14ac:dyDescent="0.45">
      <c r="A56" t="s">
        <v>29</v>
      </c>
      <c r="B56">
        <v>0</v>
      </c>
      <c r="C56">
        <v>1</v>
      </c>
      <c r="D56">
        <v>0</v>
      </c>
      <c r="E56">
        <v>1</v>
      </c>
      <c r="F56">
        <v>1</v>
      </c>
    </row>
    <row r="57" spans="1:6" x14ac:dyDescent="0.45">
      <c r="A57" t="s">
        <v>188</v>
      </c>
      <c r="B57">
        <v>0</v>
      </c>
      <c r="C57">
        <v>0</v>
      </c>
      <c r="D57">
        <v>0</v>
      </c>
      <c r="E57">
        <v>0</v>
      </c>
      <c r="F57">
        <v>9</v>
      </c>
    </row>
    <row r="58" spans="1:6" x14ac:dyDescent="0.45">
      <c r="A58" t="s">
        <v>191</v>
      </c>
      <c r="B58">
        <v>0</v>
      </c>
      <c r="C58">
        <v>0</v>
      </c>
      <c r="D58">
        <v>0</v>
      </c>
      <c r="E58">
        <v>0</v>
      </c>
      <c r="F58">
        <v>7</v>
      </c>
    </row>
    <row r="59" spans="1:6" x14ac:dyDescent="0.45">
      <c r="A59" t="s">
        <v>189</v>
      </c>
      <c r="B59">
        <v>0</v>
      </c>
      <c r="C59">
        <v>0</v>
      </c>
      <c r="D59">
        <v>0</v>
      </c>
      <c r="E59">
        <v>0</v>
      </c>
      <c r="F59">
        <v>7</v>
      </c>
    </row>
    <row r="60" spans="1:6" x14ac:dyDescent="0.45">
      <c r="A60" t="s">
        <v>210</v>
      </c>
      <c r="B60">
        <v>0</v>
      </c>
      <c r="C60">
        <v>0</v>
      </c>
      <c r="D60">
        <v>0</v>
      </c>
      <c r="E60">
        <v>0</v>
      </c>
      <c r="F60">
        <v>7</v>
      </c>
    </row>
    <row r="61" spans="1:6" x14ac:dyDescent="0.45">
      <c r="A61" t="s">
        <v>190</v>
      </c>
      <c r="B61">
        <v>0</v>
      </c>
      <c r="C61">
        <v>0</v>
      </c>
      <c r="D61">
        <v>0</v>
      </c>
      <c r="E61">
        <v>0</v>
      </c>
      <c r="F61">
        <v>7</v>
      </c>
    </row>
    <row r="62" spans="1:6" x14ac:dyDescent="0.45">
      <c r="A62" t="s">
        <v>193</v>
      </c>
      <c r="B62">
        <v>0</v>
      </c>
      <c r="C62">
        <v>0</v>
      </c>
      <c r="D62">
        <v>0</v>
      </c>
      <c r="E62">
        <v>0</v>
      </c>
      <c r="F62">
        <v>6</v>
      </c>
    </row>
    <row r="63" spans="1:6" x14ac:dyDescent="0.45">
      <c r="A63" t="s">
        <v>198</v>
      </c>
      <c r="B63">
        <v>0</v>
      </c>
      <c r="C63">
        <v>0</v>
      </c>
      <c r="D63">
        <v>0</v>
      </c>
      <c r="E63">
        <v>0</v>
      </c>
      <c r="F63">
        <v>6</v>
      </c>
    </row>
    <row r="64" spans="1:6" x14ac:dyDescent="0.45">
      <c r="A64" t="s">
        <v>194</v>
      </c>
      <c r="B64">
        <v>0</v>
      </c>
      <c r="C64">
        <v>0</v>
      </c>
      <c r="D64">
        <v>0</v>
      </c>
      <c r="E64">
        <v>0</v>
      </c>
      <c r="F64">
        <v>6</v>
      </c>
    </row>
    <row r="65" spans="1:6" x14ac:dyDescent="0.45">
      <c r="A65" t="s">
        <v>200</v>
      </c>
      <c r="B65">
        <v>0</v>
      </c>
      <c r="C65">
        <v>0</v>
      </c>
      <c r="D65">
        <v>0</v>
      </c>
      <c r="E65">
        <v>0</v>
      </c>
      <c r="F65">
        <v>6</v>
      </c>
    </row>
    <row r="66" spans="1:6" x14ac:dyDescent="0.45">
      <c r="A66" t="s">
        <v>192</v>
      </c>
      <c r="B66">
        <v>0</v>
      </c>
      <c r="C66">
        <v>0</v>
      </c>
      <c r="D66">
        <v>0</v>
      </c>
      <c r="E66">
        <v>0</v>
      </c>
      <c r="F66">
        <v>5</v>
      </c>
    </row>
    <row r="67" spans="1:6" x14ac:dyDescent="0.45">
      <c r="A67" t="s">
        <v>224</v>
      </c>
      <c r="B67">
        <v>0</v>
      </c>
      <c r="C67">
        <v>0</v>
      </c>
      <c r="D67">
        <v>0</v>
      </c>
      <c r="E67">
        <v>0</v>
      </c>
      <c r="F67">
        <v>5</v>
      </c>
    </row>
    <row r="68" spans="1:6" x14ac:dyDescent="0.45">
      <c r="A68" t="s">
        <v>195</v>
      </c>
      <c r="B68">
        <v>0</v>
      </c>
      <c r="C68">
        <v>0</v>
      </c>
      <c r="D68">
        <v>0</v>
      </c>
      <c r="E68">
        <v>0</v>
      </c>
      <c r="F68">
        <v>5</v>
      </c>
    </row>
    <row r="69" spans="1:6" x14ac:dyDescent="0.45">
      <c r="A69" t="s">
        <v>196</v>
      </c>
      <c r="B69">
        <v>0</v>
      </c>
      <c r="C69">
        <v>0</v>
      </c>
      <c r="D69">
        <v>0</v>
      </c>
      <c r="E69">
        <v>0</v>
      </c>
      <c r="F69">
        <v>5</v>
      </c>
    </row>
    <row r="70" spans="1:6" x14ac:dyDescent="0.45">
      <c r="A70" t="s">
        <v>197</v>
      </c>
      <c r="B70">
        <v>0</v>
      </c>
      <c r="C70">
        <v>0</v>
      </c>
      <c r="D70">
        <v>0</v>
      </c>
      <c r="E70">
        <v>0</v>
      </c>
      <c r="F70">
        <v>5</v>
      </c>
    </row>
    <row r="71" spans="1:6" x14ac:dyDescent="0.45">
      <c r="A71" t="s">
        <v>203</v>
      </c>
      <c r="B71">
        <v>0</v>
      </c>
      <c r="C71">
        <v>0</v>
      </c>
      <c r="D71">
        <v>0</v>
      </c>
      <c r="E71">
        <v>0</v>
      </c>
      <c r="F71">
        <v>4</v>
      </c>
    </row>
    <row r="72" spans="1:6" x14ac:dyDescent="0.45">
      <c r="A72" t="s">
        <v>204</v>
      </c>
      <c r="B72">
        <v>0</v>
      </c>
      <c r="C72">
        <v>0</v>
      </c>
      <c r="D72">
        <v>0</v>
      </c>
      <c r="E72">
        <v>0</v>
      </c>
      <c r="F72">
        <v>4</v>
      </c>
    </row>
    <row r="73" spans="1:6" x14ac:dyDescent="0.45">
      <c r="A73" t="s">
        <v>219</v>
      </c>
      <c r="B73">
        <v>0</v>
      </c>
      <c r="C73">
        <v>0</v>
      </c>
      <c r="D73">
        <v>0</v>
      </c>
      <c r="E73">
        <v>0</v>
      </c>
      <c r="F73">
        <v>4</v>
      </c>
    </row>
    <row r="74" spans="1:6" x14ac:dyDescent="0.45">
      <c r="A74" t="s">
        <v>199</v>
      </c>
      <c r="B74">
        <v>0</v>
      </c>
      <c r="C74">
        <v>0</v>
      </c>
      <c r="D74">
        <v>0</v>
      </c>
      <c r="E74">
        <v>0</v>
      </c>
      <c r="F74">
        <v>4</v>
      </c>
    </row>
    <row r="75" spans="1:6" x14ac:dyDescent="0.45">
      <c r="A75" t="s">
        <v>231</v>
      </c>
      <c r="B75">
        <v>0</v>
      </c>
      <c r="C75">
        <v>0</v>
      </c>
      <c r="D75">
        <v>0</v>
      </c>
      <c r="E75">
        <v>0</v>
      </c>
      <c r="F75">
        <v>4</v>
      </c>
    </row>
    <row r="76" spans="1:6" x14ac:dyDescent="0.45">
      <c r="A76" t="s">
        <v>232</v>
      </c>
      <c r="B76">
        <v>0</v>
      </c>
      <c r="C76">
        <v>0</v>
      </c>
      <c r="D76">
        <v>0</v>
      </c>
      <c r="E76">
        <v>0</v>
      </c>
      <c r="F76">
        <v>4</v>
      </c>
    </row>
    <row r="77" spans="1:6" x14ac:dyDescent="0.45">
      <c r="A77" t="s">
        <v>212</v>
      </c>
      <c r="B77">
        <v>0</v>
      </c>
      <c r="C77">
        <v>0</v>
      </c>
      <c r="D77">
        <v>0</v>
      </c>
      <c r="E77">
        <v>0</v>
      </c>
      <c r="F77">
        <v>4</v>
      </c>
    </row>
    <row r="78" spans="1:6" x14ac:dyDescent="0.45">
      <c r="A78" t="s">
        <v>201</v>
      </c>
      <c r="B78">
        <v>0</v>
      </c>
      <c r="C78">
        <v>0</v>
      </c>
      <c r="D78">
        <v>0</v>
      </c>
      <c r="E78">
        <v>0</v>
      </c>
      <c r="F78">
        <v>4</v>
      </c>
    </row>
    <row r="79" spans="1:6" x14ac:dyDescent="0.45">
      <c r="A79" t="s">
        <v>202</v>
      </c>
      <c r="B79">
        <v>0</v>
      </c>
      <c r="C79">
        <v>0</v>
      </c>
      <c r="D79">
        <v>0</v>
      </c>
      <c r="E79">
        <v>0</v>
      </c>
      <c r="F79">
        <v>4</v>
      </c>
    </row>
    <row r="80" spans="1:6" x14ac:dyDescent="0.45">
      <c r="A80" t="s">
        <v>213</v>
      </c>
      <c r="B80">
        <v>0</v>
      </c>
      <c r="C80">
        <v>0</v>
      </c>
      <c r="D80">
        <v>0</v>
      </c>
      <c r="E80">
        <v>0</v>
      </c>
      <c r="F80">
        <v>4</v>
      </c>
    </row>
    <row r="81" spans="1:6" x14ac:dyDescent="0.45">
      <c r="A81" t="s">
        <v>218</v>
      </c>
      <c r="B81">
        <v>0</v>
      </c>
      <c r="C81">
        <v>0</v>
      </c>
      <c r="D81">
        <v>0</v>
      </c>
      <c r="E81">
        <v>0</v>
      </c>
      <c r="F81">
        <v>3</v>
      </c>
    </row>
    <row r="82" spans="1:6" x14ac:dyDescent="0.45">
      <c r="A82" t="s">
        <v>205</v>
      </c>
      <c r="B82">
        <v>0</v>
      </c>
      <c r="C82">
        <v>0</v>
      </c>
      <c r="D82">
        <v>0</v>
      </c>
      <c r="E82">
        <v>0</v>
      </c>
      <c r="F82">
        <v>3</v>
      </c>
    </row>
    <row r="83" spans="1:6" x14ac:dyDescent="0.45">
      <c r="A83" t="s">
        <v>206</v>
      </c>
      <c r="B83">
        <v>0</v>
      </c>
      <c r="C83">
        <v>0</v>
      </c>
      <c r="D83">
        <v>0</v>
      </c>
      <c r="E83">
        <v>0</v>
      </c>
      <c r="F83">
        <v>3</v>
      </c>
    </row>
    <row r="84" spans="1:6" x14ac:dyDescent="0.45">
      <c r="A84" t="s">
        <v>223</v>
      </c>
      <c r="B84">
        <v>0</v>
      </c>
      <c r="C84">
        <v>0</v>
      </c>
      <c r="D84">
        <v>0</v>
      </c>
      <c r="E84">
        <v>0</v>
      </c>
      <c r="F84">
        <v>3</v>
      </c>
    </row>
    <row r="85" spans="1:6" x14ac:dyDescent="0.45">
      <c r="A85" t="s">
        <v>207</v>
      </c>
      <c r="B85">
        <v>0</v>
      </c>
      <c r="C85">
        <v>0</v>
      </c>
      <c r="D85">
        <v>0</v>
      </c>
      <c r="E85">
        <v>0</v>
      </c>
      <c r="F85">
        <v>3</v>
      </c>
    </row>
    <row r="86" spans="1:6" x14ac:dyDescent="0.45">
      <c r="A86" t="s">
        <v>55</v>
      </c>
      <c r="B86">
        <v>0</v>
      </c>
      <c r="C86">
        <v>0</v>
      </c>
      <c r="D86">
        <v>0</v>
      </c>
      <c r="E86">
        <v>0</v>
      </c>
      <c r="F86">
        <v>3</v>
      </c>
    </row>
    <row r="87" spans="1:6" x14ac:dyDescent="0.45">
      <c r="A87" t="s">
        <v>228</v>
      </c>
      <c r="B87">
        <v>0</v>
      </c>
      <c r="C87">
        <v>0</v>
      </c>
      <c r="D87">
        <v>0</v>
      </c>
      <c r="E87">
        <v>0</v>
      </c>
      <c r="F87">
        <v>3</v>
      </c>
    </row>
    <row r="88" spans="1:6" x14ac:dyDescent="0.45">
      <c r="A88" t="s">
        <v>208</v>
      </c>
      <c r="B88">
        <v>0</v>
      </c>
      <c r="C88">
        <v>0</v>
      </c>
      <c r="D88">
        <v>0</v>
      </c>
      <c r="E88">
        <v>0</v>
      </c>
      <c r="F88">
        <v>3</v>
      </c>
    </row>
    <row r="89" spans="1:6" x14ac:dyDescent="0.45">
      <c r="A89" t="s">
        <v>209</v>
      </c>
      <c r="B89">
        <v>0</v>
      </c>
      <c r="C89">
        <v>0</v>
      </c>
      <c r="D89">
        <v>0</v>
      </c>
      <c r="E89">
        <v>0</v>
      </c>
      <c r="F89">
        <v>3</v>
      </c>
    </row>
    <row r="90" spans="1:6" x14ac:dyDescent="0.45">
      <c r="A90" t="s">
        <v>211</v>
      </c>
      <c r="B90">
        <v>0</v>
      </c>
      <c r="C90">
        <v>0</v>
      </c>
      <c r="D90">
        <v>0</v>
      </c>
      <c r="E90">
        <v>0</v>
      </c>
      <c r="F90">
        <v>3</v>
      </c>
    </row>
    <row r="91" spans="1:6" x14ac:dyDescent="0.45">
      <c r="A91" t="s">
        <v>240</v>
      </c>
      <c r="B91">
        <v>0</v>
      </c>
      <c r="C91">
        <v>0</v>
      </c>
      <c r="D91">
        <v>0</v>
      </c>
      <c r="E91">
        <v>0</v>
      </c>
      <c r="F91">
        <v>2</v>
      </c>
    </row>
    <row r="92" spans="1:6" x14ac:dyDescent="0.45">
      <c r="A92" t="s">
        <v>214</v>
      </c>
      <c r="B92">
        <v>0</v>
      </c>
      <c r="C92">
        <v>0</v>
      </c>
      <c r="D92">
        <v>0</v>
      </c>
      <c r="E92">
        <v>0</v>
      </c>
      <c r="F92">
        <v>2</v>
      </c>
    </row>
    <row r="93" spans="1:6" x14ac:dyDescent="0.45">
      <c r="A93" t="s">
        <v>215</v>
      </c>
      <c r="B93">
        <v>0</v>
      </c>
      <c r="C93">
        <v>0</v>
      </c>
      <c r="D93">
        <v>0</v>
      </c>
      <c r="E93">
        <v>0</v>
      </c>
      <c r="F93">
        <v>2</v>
      </c>
    </row>
    <row r="94" spans="1:6" x14ac:dyDescent="0.45">
      <c r="A94" t="s">
        <v>246</v>
      </c>
      <c r="B94">
        <v>0</v>
      </c>
      <c r="C94">
        <v>0</v>
      </c>
      <c r="D94">
        <v>0</v>
      </c>
      <c r="E94">
        <v>0</v>
      </c>
      <c r="F94">
        <v>2</v>
      </c>
    </row>
    <row r="95" spans="1:6" x14ac:dyDescent="0.45">
      <c r="A95" t="s">
        <v>216</v>
      </c>
      <c r="B95">
        <v>0</v>
      </c>
      <c r="C95">
        <v>0</v>
      </c>
      <c r="D95">
        <v>0</v>
      </c>
      <c r="E95">
        <v>0</v>
      </c>
      <c r="F95">
        <v>2</v>
      </c>
    </row>
    <row r="96" spans="1:6" x14ac:dyDescent="0.45">
      <c r="A96" t="s">
        <v>217</v>
      </c>
      <c r="B96">
        <v>0</v>
      </c>
      <c r="C96">
        <v>0</v>
      </c>
      <c r="D96">
        <v>0</v>
      </c>
      <c r="E96">
        <v>0</v>
      </c>
      <c r="F96">
        <v>2</v>
      </c>
    </row>
    <row r="97" spans="1:6" x14ac:dyDescent="0.45">
      <c r="A97" t="s">
        <v>250</v>
      </c>
      <c r="B97">
        <v>0</v>
      </c>
      <c r="C97">
        <v>0</v>
      </c>
      <c r="D97">
        <v>0</v>
      </c>
      <c r="E97">
        <v>0</v>
      </c>
      <c r="F97">
        <v>2</v>
      </c>
    </row>
    <row r="98" spans="1:6" x14ac:dyDescent="0.45">
      <c r="A98" t="s">
        <v>251</v>
      </c>
      <c r="B98">
        <v>0</v>
      </c>
      <c r="C98">
        <v>0</v>
      </c>
      <c r="D98">
        <v>0</v>
      </c>
      <c r="E98">
        <v>0</v>
      </c>
      <c r="F98">
        <v>2</v>
      </c>
    </row>
    <row r="99" spans="1:6" x14ac:dyDescent="0.45">
      <c r="A99" t="s">
        <v>252</v>
      </c>
      <c r="B99">
        <v>0</v>
      </c>
      <c r="C99">
        <v>0</v>
      </c>
      <c r="D99">
        <v>0</v>
      </c>
      <c r="E99">
        <v>0</v>
      </c>
      <c r="F99">
        <v>2</v>
      </c>
    </row>
    <row r="100" spans="1:6" x14ac:dyDescent="0.45">
      <c r="A100" t="s">
        <v>253</v>
      </c>
      <c r="B100">
        <v>0</v>
      </c>
      <c r="C100">
        <v>0</v>
      </c>
      <c r="D100">
        <v>0</v>
      </c>
      <c r="E100">
        <v>0</v>
      </c>
      <c r="F100">
        <v>2</v>
      </c>
    </row>
    <row r="101" spans="1:6" x14ac:dyDescent="0.45">
      <c r="A101" t="s">
        <v>220</v>
      </c>
      <c r="B101">
        <v>0</v>
      </c>
      <c r="C101">
        <v>0</v>
      </c>
      <c r="D101">
        <v>0</v>
      </c>
      <c r="E101">
        <v>0</v>
      </c>
      <c r="F101">
        <v>2</v>
      </c>
    </row>
    <row r="102" spans="1:6" x14ac:dyDescent="0.45">
      <c r="A102" t="s">
        <v>221</v>
      </c>
      <c r="B102">
        <v>0</v>
      </c>
      <c r="C102">
        <v>0</v>
      </c>
      <c r="D102">
        <v>0</v>
      </c>
      <c r="E102">
        <v>0</v>
      </c>
      <c r="F102">
        <v>2</v>
      </c>
    </row>
    <row r="103" spans="1:6" x14ac:dyDescent="0.45">
      <c r="A103" t="s">
        <v>256</v>
      </c>
      <c r="B103">
        <v>0</v>
      </c>
      <c r="C103">
        <v>0</v>
      </c>
      <c r="D103">
        <v>0</v>
      </c>
      <c r="E103">
        <v>0</v>
      </c>
      <c r="F103">
        <v>2</v>
      </c>
    </row>
    <row r="104" spans="1:6" x14ac:dyDescent="0.45">
      <c r="A104" t="s">
        <v>222</v>
      </c>
      <c r="B104">
        <v>0</v>
      </c>
      <c r="C104">
        <v>0</v>
      </c>
      <c r="D104">
        <v>0</v>
      </c>
      <c r="E104">
        <v>0</v>
      </c>
      <c r="F104">
        <v>2</v>
      </c>
    </row>
    <row r="105" spans="1:6" x14ac:dyDescent="0.45">
      <c r="A105" t="s">
        <v>225</v>
      </c>
      <c r="B105">
        <v>0</v>
      </c>
      <c r="C105">
        <v>0</v>
      </c>
      <c r="D105">
        <v>0</v>
      </c>
      <c r="E105">
        <v>0</v>
      </c>
      <c r="F105">
        <v>2</v>
      </c>
    </row>
    <row r="106" spans="1:6" x14ac:dyDescent="0.45">
      <c r="A106" t="s">
        <v>226</v>
      </c>
      <c r="B106">
        <v>0</v>
      </c>
      <c r="C106">
        <v>0</v>
      </c>
      <c r="D106">
        <v>0</v>
      </c>
      <c r="E106">
        <v>0</v>
      </c>
      <c r="F106">
        <v>2</v>
      </c>
    </row>
    <row r="107" spans="1:6" x14ac:dyDescent="0.45">
      <c r="A107" t="s">
        <v>267</v>
      </c>
      <c r="B107">
        <v>0</v>
      </c>
      <c r="C107">
        <v>0</v>
      </c>
      <c r="D107">
        <v>0</v>
      </c>
      <c r="E107">
        <v>0</v>
      </c>
      <c r="F107">
        <v>2</v>
      </c>
    </row>
    <row r="108" spans="1:6" x14ac:dyDescent="0.45">
      <c r="A108" t="s">
        <v>227</v>
      </c>
      <c r="B108">
        <v>0</v>
      </c>
      <c r="C108">
        <v>0</v>
      </c>
      <c r="D108">
        <v>0</v>
      </c>
      <c r="E108">
        <v>0</v>
      </c>
      <c r="F108">
        <v>2</v>
      </c>
    </row>
    <row r="109" spans="1:6" x14ac:dyDescent="0.45">
      <c r="A109" t="s">
        <v>229</v>
      </c>
      <c r="B109">
        <v>0</v>
      </c>
      <c r="C109">
        <v>0</v>
      </c>
      <c r="D109">
        <v>0</v>
      </c>
      <c r="E109">
        <v>0</v>
      </c>
      <c r="F109">
        <v>2</v>
      </c>
    </row>
    <row r="110" spans="1:6" x14ac:dyDescent="0.45">
      <c r="A110" t="s">
        <v>230</v>
      </c>
      <c r="B110">
        <v>0</v>
      </c>
      <c r="C110">
        <v>0</v>
      </c>
      <c r="D110">
        <v>0</v>
      </c>
      <c r="E110">
        <v>0</v>
      </c>
      <c r="F110">
        <v>2</v>
      </c>
    </row>
    <row r="111" spans="1:6" x14ac:dyDescent="0.45">
      <c r="A111" t="s">
        <v>270</v>
      </c>
      <c r="B111">
        <v>0</v>
      </c>
      <c r="C111">
        <v>0</v>
      </c>
      <c r="D111">
        <v>0</v>
      </c>
      <c r="E111">
        <v>0</v>
      </c>
      <c r="F111">
        <v>2</v>
      </c>
    </row>
    <row r="112" spans="1:6" x14ac:dyDescent="0.45">
      <c r="A112" t="s">
        <v>274</v>
      </c>
      <c r="B112">
        <v>0</v>
      </c>
      <c r="C112">
        <v>0</v>
      </c>
      <c r="D112">
        <v>0</v>
      </c>
      <c r="E112">
        <v>0</v>
      </c>
      <c r="F112">
        <v>2</v>
      </c>
    </row>
    <row r="113" spans="1:6" x14ac:dyDescent="0.45">
      <c r="A113" t="s">
        <v>233</v>
      </c>
      <c r="B113">
        <v>0</v>
      </c>
      <c r="C113">
        <v>0</v>
      </c>
      <c r="D113">
        <v>0</v>
      </c>
      <c r="E113">
        <v>0</v>
      </c>
      <c r="F113">
        <v>2</v>
      </c>
    </row>
    <row r="114" spans="1:6" x14ac:dyDescent="0.45">
      <c r="A114" t="s">
        <v>234</v>
      </c>
      <c r="B114">
        <v>0</v>
      </c>
      <c r="C114">
        <v>0</v>
      </c>
      <c r="D114">
        <v>0</v>
      </c>
      <c r="E114">
        <v>0</v>
      </c>
      <c r="F114">
        <v>2</v>
      </c>
    </row>
    <row r="115" spans="1:6" x14ac:dyDescent="0.45">
      <c r="A115" t="s">
        <v>235</v>
      </c>
      <c r="B115">
        <v>0</v>
      </c>
      <c r="C115">
        <v>0</v>
      </c>
      <c r="D115">
        <v>0</v>
      </c>
      <c r="E115">
        <v>0</v>
      </c>
      <c r="F115">
        <v>2</v>
      </c>
    </row>
    <row r="116" spans="1:6" x14ac:dyDescent="0.45">
      <c r="A116" t="s">
        <v>236</v>
      </c>
      <c r="B116">
        <v>0</v>
      </c>
      <c r="C116">
        <v>0</v>
      </c>
      <c r="D116">
        <v>0</v>
      </c>
      <c r="E116">
        <v>0</v>
      </c>
      <c r="F116">
        <v>2</v>
      </c>
    </row>
    <row r="117" spans="1:6" x14ac:dyDescent="0.45">
      <c r="A117" t="s">
        <v>237</v>
      </c>
      <c r="B117">
        <v>0</v>
      </c>
      <c r="C117">
        <v>0</v>
      </c>
      <c r="D117">
        <v>0</v>
      </c>
      <c r="E117">
        <v>0</v>
      </c>
      <c r="F117">
        <v>2</v>
      </c>
    </row>
    <row r="118" spans="1:6" x14ac:dyDescent="0.45">
      <c r="A118" t="s">
        <v>238</v>
      </c>
      <c r="B118">
        <v>0</v>
      </c>
      <c r="C118">
        <v>0</v>
      </c>
      <c r="D118">
        <v>0</v>
      </c>
      <c r="E118">
        <v>0</v>
      </c>
      <c r="F118">
        <v>2</v>
      </c>
    </row>
    <row r="119" spans="1:6" x14ac:dyDescent="0.45">
      <c r="A119" t="s">
        <v>239</v>
      </c>
      <c r="B119">
        <v>0</v>
      </c>
      <c r="C119">
        <v>0</v>
      </c>
      <c r="D119">
        <v>0</v>
      </c>
      <c r="E119">
        <v>0</v>
      </c>
      <c r="F119">
        <v>2</v>
      </c>
    </row>
    <row r="120" spans="1:6" x14ac:dyDescent="0.45">
      <c r="A120" t="s">
        <v>241</v>
      </c>
      <c r="B120">
        <v>0</v>
      </c>
      <c r="C120">
        <v>0</v>
      </c>
      <c r="D120">
        <v>0</v>
      </c>
      <c r="E120">
        <v>0</v>
      </c>
      <c r="F120">
        <v>1</v>
      </c>
    </row>
    <row r="121" spans="1:6" x14ac:dyDescent="0.45">
      <c r="A121" t="s">
        <v>242</v>
      </c>
      <c r="B121">
        <v>0</v>
      </c>
      <c r="C121">
        <v>0</v>
      </c>
      <c r="D121">
        <v>0</v>
      </c>
      <c r="E121">
        <v>0</v>
      </c>
      <c r="F121">
        <v>1</v>
      </c>
    </row>
    <row r="122" spans="1:6" x14ac:dyDescent="0.45">
      <c r="A122" t="s">
        <v>243</v>
      </c>
      <c r="B122">
        <v>0</v>
      </c>
      <c r="C122">
        <v>0</v>
      </c>
      <c r="D122">
        <v>0</v>
      </c>
      <c r="E122">
        <v>0</v>
      </c>
      <c r="F122">
        <v>1</v>
      </c>
    </row>
    <row r="123" spans="1:6" x14ac:dyDescent="0.45">
      <c r="A123" t="s">
        <v>244</v>
      </c>
      <c r="B123">
        <v>0</v>
      </c>
      <c r="C123">
        <v>0</v>
      </c>
      <c r="D123">
        <v>0</v>
      </c>
      <c r="E123">
        <v>0</v>
      </c>
      <c r="F123">
        <v>1</v>
      </c>
    </row>
    <row r="124" spans="1:6" x14ac:dyDescent="0.45">
      <c r="A124" t="s">
        <v>245</v>
      </c>
      <c r="B124">
        <v>0</v>
      </c>
      <c r="C124">
        <v>0</v>
      </c>
      <c r="D124">
        <v>0</v>
      </c>
      <c r="E124">
        <v>0</v>
      </c>
      <c r="F124">
        <v>1</v>
      </c>
    </row>
    <row r="125" spans="1:6" x14ac:dyDescent="0.45">
      <c r="A125" t="s">
        <v>247</v>
      </c>
      <c r="B125">
        <v>0</v>
      </c>
      <c r="C125">
        <v>0</v>
      </c>
      <c r="D125">
        <v>0</v>
      </c>
      <c r="E125">
        <v>0</v>
      </c>
      <c r="F125">
        <v>1</v>
      </c>
    </row>
    <row r="126" spans="1:6" x14ac:dyDescent="0.45">
      <c r="A126" t="s">
        <v>248</v>
      </c>
      <c r="B126">
        <v>0</v>
      </c>
      <c r="C126">
        <v>0</v>
      </c>
      <c r="D126">
        <v>0</v>
      </c>
      <c r="E126">
        <v>0</v>
      </c>
      <c r="F126">
        <v>1</v>
      </c>
    </row>
    <row r="127" spans="1:6" x14ac:dyDescent="0.45">
      <c r="A127" t="s">
        <v>249</v>
      </c>
      <c r="B127">
        <v>0</v>
      </c>
      <c r="C127">
        <v>0</v>
      </c>
      <c r="D127">
        <v>0</v>
      </c>
      <c r="E127">
        <v>0</v>
      </c>
      <c r="F127">
        <v>1</v>
      </c>
    </row>
    <row r="128" spans="1:6" x14ac:dyDescent="0.45">
      <c r="A128" t="s">
        <v>254</v>
      </c>
      <c r="B128">
        <v>0</v>
      </c>
      <c r="C128">
        <v>0</v>
      </c>
      <c r="D128">
        <v>0</v>
      </c>
      <c r="E128">
        <v>0</v>
      </c>
      <c r="F128">
        <v>1</v>
      </c>
    </row>
    <row r="129" spans="1:6" x14ac:dyDescent="0.45">
      <c r="A129" t="s">
        <v>255</v>
      </c>
      <c r="B129">
        <v>0</v>
      </c>
      <c r="C129">
        <v>0</v>
      </c>
      <c r="D129">
        <v>0</v>
      </c>
      <c r="E129">
        <v>0</v>
      </c>
      <c r="F129">
        <v>1</v>
      </c>
    </row>
    <row r="130" spans="1:6" x14ac:dyDescent="0.45">
      <c r="A130" t="s">
        <v>257</v>
      </c>
      <c r="B130">
        <v>0</v>
      </c>
      <c r="C130">
        <v>0</v>
      </c>
      <c r="D130">
        <v>0</v>
      </c>
      <c r="E130">
        <v>0</v>
      </c>
      <c r="F130">
        <v>1</v>
      </c>
    </row>
    <row r="131" spans="1:6" x14ac:dyDescent="0.45">
      <c r="A131" t="s">
        <v>258</v>
      </c>
      <c r="B131">
        <v>0</v>
      </c>
      <c r="C131">
        <v>0</v>
      </c>
      <c r="D131">
        <v>0</v>
      </c>
      <c r="E131">
        <v>0</v>
      </c>
      <c r="F131">
        <v>1</v>
      </c>
    </row>
    <row r="132" spans="1:6" x14ac:dyDescent="0.45">
      <c r="A132" t="s">
        <v>259</v>
      </c>
      <c r="B132">
        <v>0</v>
      </c>
      <c r="C132">
        <v>0</v>
      </c>
      <c r="D132">
        <v>0</v>
      </c>
      <c r="E132">
        <v>0</v>
      </c>
      <c r="F132">
        <v>1</v>
      </c>
    </row>
    <row r="133" spans="1:6" x14ac:dyDescent="0.45">
      <c r="A133" t="s">
        <v>260</v>
      </c>
      <c r="B133">
        <v>0</v>
      </c>
      <c r="C133">
        <v>0</v>
      </c>
      <c r="D133">
        <v>0</v>
      </c>
      <c r="E133">
        <v>0</v>
      </c>
      <c r="F133">
        <v>1</v>
      </c>
    </row>
    <row r="134" spans="1:6" x14ac:dyDescent="0.45">
      <c r="A134" t="s">
        <v>261</v>
      </c>
      <c r="B134">
        <v>0</v>
      </c>
      <c r="C134">
        <v>0</v>
      </c>
      <c r="D134">
        <v>0</v>
      </c>
      <c r="E134">
        <v>0</v>
      </c>
      <c r="F134">
        <v>1</v>
      </c>
    </row>
    <row r="135" spans="1:6" x14ac:dyDescent="0.45">
      <c r="A135" t="s">
        <v>262</v>
      </c>
      <c r="B135">
        <v>0</v>
      </c>
      <c r="C135">
        <v>0</v>
      </c>
      <c r="D135">
        <v>0</v>
      </c>
      <c r="E135">
        <v>0</v>
      </c>
      <c r="F135">
        <v>1</v>
      </c>
    </row>
    <row r="136" spans="1:6" x14ac:dyDescent="0.45">
      <c r="A136" t="s">
        <v>263</v>
      </c>
      <c r="B136">
        <v>0</v>
      </c>
      <c r="C136">
        <v>0</v>
      </c>
      <c r="D136">
        <v>0</v>
      </c>
      <c r="E136">
        <v>0</v>
      </c>
      <c r="F136">
        <v>1</v>
      </c>
    </row>
    <row r="137" spans="1:6" x14ac:dyDescent="0.45">
      <c r="A137" t="s">
        <v>264</v>
      </c>
      <c r="B137">
        <v>0</v>
      </c>
      <c r="C137">
        <v>0</v>
      </c>
      <c r="D137">
        <v>0</v>
      </c>
      <c r="E137">
        <v>0</v>
      </c>
      <c r="F137">
        <v>1</v>
      </c>
    </row>
    <row r="138" spans="1:6" x14ac:dyDescent="0.45">
      <c r="A138" t="s">
        <v>265</v>
      </c>
      <c r="B138">
        <v>0</v>
      </c>
      <c r="C138">
        <v>0</v>
      </c>
      <c r="D138">
        <v>0</v>
      </c>
      <c r="E138">
        <v>0</v>
      </c>
      <c r="F138">
        <v>1</v>
      </c>
    </row>
    <row r="139" spans="1:6" x14ac:dyDescent="0.45">
      <c r="A139" t="s">
        <v>266</v>
      </c>
      <c r="B139">
        <v>0</v>
      </c>
      <c r="C139">
        <v>0</v>
      </c>
      <c r="D139">
        <v>0</v>
      </c>
      <c r="E139">
        <v>0</v>
      </c>
      <c r="F139">
        <v>1</v>
      </c>
    </row>
    <row r="140" spans="1:6" x14ac:dyDescent="0.45">
      <c r="A140" t="s">
        <v>268</v>
      </c>
      <c r="B140">
        <v>0</v>
      </c>
      <c r="C140">
        <v>0</v>
      </c>
      <c r="D140">
        <v>0</v>
      </c>
      <c r="E140">
        <v>0</v>
      </c>
      <c r="F140">
        <v>1</v>
      </c>
    </row>
    <row r="141" spans="1:6" x14ac:dyDescent="0.45">
      <c r="A141" t="s">
        <v>269</v>
      </c>
      <c r="B141">
        <v>0</v>
      </c>
      <c r="C141">
        <v>0</v>
      </c>
      <c r="D141">
        <v>0</v>
      </c>
      <c r="E141">
        <v>0</v>
      </c>
      <c r="F141">
        <v>1</v>
      </c>
    </row>
    <row r="142" spans="1:6" x14ac:dyDescent="0.45">
      <c r="A142" t="s">
        <v>271</v>
      </c>
      <c r="B142">
        <v>0</v>
      </c>
      <c r="C142">
        <v>0</v>
      </c>
      <c r="D142">
        <v>0</v>
      </c>
      <c r="E142">
        <v>0</v>
      </c>
      <c r="F142">
        <v>1</v>
      </c>
    </row>
    <row r="143" spans="1:6" x14ac:dyDescent="0.45">
      <c r="A143" t="s">
        <v>272</v>
      </c>
      <c r="B143">
        <v>0</v>
      </c>
      <c r="C143">
        <v>0</v>
      </c>
      <c r="D143">
        <v>0</v>
      </c>
      <c r="E143">
        <v>0</v>
      </c>
      <c r="F143">
        <v>1</v>
      </c>
    </row>
    <row r="144" spans="1:6" x14ac:dyDescent="0.45">
      <c r="A144" t="s">
        <v>273</v>
      </c>
      <c r="B144">
        <v>0</v>
      </c>
      <c r="C144">
        <v>0</v>
      </c>
      <c r="D144">
        <v>0</v>
      </c>
      <c r="E144">
        <v>0</v>
      </c>
      <c r="F144">
        <v>1</v>
      </c>
    </row>
    <row r="145" spans="1:6" x14ac:dyDescent="0.45">
      <c r="A145" t="s">
        <v>275</v>
      </c>
      <c r="B145">
        <v>0</v>
      </c>
      <c r="C145">
        <v>0</v>
      </c>
      <c r="D145">
        <v>0</v>
      </c>
      <c r="E145">
        <v>0</v>
      </c>
      <c r="F145">
        <v>1</v>
      </c>
    </row>
    <row r="146" spans="1:6" x14ac:dyDescent="0.45">
      <c r="A146" t="s">
        <v>276</v>
      </c>
      <c r="B146">
        <v>0</v>
      </c>
      <c r="C146">
        <v>0</v>
      </c>
      <c r="D146">
        <v>0</v>
      </c>
      <c r="E146">
        <v>0</v>
      </c>
      <c r="F146">
        <v>1</v>
      </c>
    </row>
    <row r="147" spans="1:6" x14ac:dyDescent="0.45">
      <c r="A147" t="s">
        <v>277</v>
      </c>
      <c r="B147">
        <v>0</v>
      </c>
      <c r="C147">
        <v>0</v>
      </c>
      <c r="D147">
        <v>0</v>
      </c>
      <c r="E147">
        <v>0</v>
      </c>
      <c r="F147">
        <v>1</v>
      </c>
    </row>
    <row r="148" spans="1:6" x14ac:dyDescent="0.45">
      <c r="A148" t="s">
        <v>278</v>
      </c>
      <c r="B148">
        <v>0</v>
      </c>
      <c r="C148">
        <v>0</v>
      </c>
      <c r="D148">
        <v>0</v>
      </c>
      <c r="E148">
        <v>0</v>
      </c>
      <c r="F148">
        <v>1</v>
      </c>
    </row>
    <row r="149" spans="1:6" x14ac:dyDescent="0.45">
      <c r="A149" t="s">
        <v>279</v>
      </c>
      <c r="B149">
        <v>0</v>
      </c>
      <c r="C149">
        <v>0</v>
      </c>
      <c r="D149">
        <v>0</v>
      </c>
      <c r="E149">
        <v>0</v>
      </c>
      <c r="F149">
        <v>1</v>
      </c>
    </row>
    <row r="150" spans="1:6" x14ac:dyDescent="0.45">
      <c r="B150">
        <f>SUM(B2:B149)</f>
        <v>36</v>
      </c>
      <c r="C150">
        <f t="shared" ref="C150:F150" si="0">SUM(C2:C149)</f>
        <v>41</v>
      </c>
      <c r="D150">
        <f t="shared" si="0"/>
        <v>33</v>
      </c>
      <c r="E150">
        <f t="shared" si="0"/>
        <v>110</v>
      </c>
      <c r="F150">
        <f t="shared" si="0"/>
        <v>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8"/>
  <sheetViews>
    <sheetView topLeftCell="A6" workbookViewId="0">
      <selection activeCell="B6" sqref="B6"/>
    </sheetView>
  </sheetViews>
  <sheetFormatPr defaultRowHeight="14.25" x14ac:dyDescent="0.45"/>
  <cols>
    <col min="1" max="1" width="27.06640625" bestFit="1" customWidth="1"/>
    <col min="7" max="7" width="11.265625" bestFit="1" customWidth="1"/>
  </cols>
  <sheetData>
    <row r="1" spans="1:7" x14ac:dyDescent="0.45">
      <c r="A1" s="1" t="s">
        <v>0</v>
      </c>
      <c r="B1" s="1" t="s">
        <v>182</v>
      </c>
      <c r="C1" s="1" t="s">
        <v>183</v>
      </c>
      <c r="D1" s="1" t="s">
        <v>184</v>
      </c>
      <c r="E1" s="1" t="s">
        <v>280</v>
      </c>
      <c r="F1" s="1" t="s">
        <v>281</v>
      </c>
      <c r="G1" s="1" t="s">
        <v>282</v>
      </c>
    </row>
    <row r="2" spans="1:7" x14ac:dyDescent="0.45">
      <c r="A2" s="11" t="s">
        <v>49</v>
      </c>
      <c r="B2" s="11">
        <v>0</v>
      </c>
      <c r="C2" s="11">
        <v>4</v>
      </c>
      <c r="D2" s="11">
        <v>0</v>
      </c>
      <c r="E2" s="11">
        <v>4</v>
      </c>
      <c r="F2" s="11">
        <v>4</v>
      </c>
      <c r="G2" s="12">
        <v>1</v>
      </c>
    </row>
    <row r="3" spans="1:7" x14ac:dyDescent="0.45">
      <c r="A3" s="11" t="s">
        <v>41</v>
      </c>
      <c r="B3" s="11">
        <v>4</v>
      </c>
      <c r="C3" s="11">
        <v>0</v>
      </c>
      <c r="D3" s="11">
        <v>0</v>
      </c>
      <c r="E3" s="11">
        <v>4</v>
      </c>
      <c r="F3" s="11">
        <v>4</v>
      </c>
      <c r="G3" s="12">
        <v>1</v>
      </c>
    </row>
    <row r="4" spans="1:7" x14ac:dyDescent="0.45">
      <c r="A4" s="11" t="s">
        <v>50</v>
      </c>
      <c r="B4" s="11">
        <v>1</v>
      </c>
      <c r="C4" s="11">
        <v>1</v>
      </c>
      <c r="D4" s="11">
        <v>2</v>
      </c>
      <c r="E4" s="11">
        <v>4</v>
      </c>
      <c r="F4" s="11">
        <v>4</v>
      </c>
      <c r="G4" s="12">
        <v>1</v>
      </c>
    </row>
    <row r="5" spans="1:7" x14ac:dyDescent="0.45">
      <c r="A5" s="11" t="s">
        <v>46</v>
      </c>
      <c r="B5" s="11">
        <v>2</v>
      </c>
      <c r="C5" s="11">
        <v>0</v>
      </c>
      <c r="D5" s="11">
        <v>1</v>
      </c>
      <c r="E5" s="11">
        <v>3</v>
      </c>
      <c r="F5" s="11">
        <v>3</v>
      </c>
      <c r="G5" s="12">
        <v>1</v>
      </c>
    </row>
    <row r="6" spans="1:7" x14ac:dyDescent="0.45">
      <c r="A6" s="11" t="s">
        <v>47</v>
      </c>
      <c r="B6" s="11">
        <v>0</v>
      </c>
      <c r="C6" s="11">
        <v>2</v>
      </c>
      <c r="D6" s="11">
        <v>1</v>
      </c>
      <c r="E6" s="11">
        <v>3</v>
      </c>
      <c r="F6" s="11">
        <v>3</v>
      </c>
      <c r="G6" s="12">
        <v>1</v>
      </c>
    </row>
    <row r="7" spans="1:7" x14ac:dyDescent="0.45">
      <c r="A7" s="11" t="s">
        <v>98</v>
      </c>
      <c r="B7" s="11">
        <v>1</v>
      </c>
      <c r="C7" s="11">
        <v>2</v>
      </c>
      <c r="D7" s="11">
        <v>0</v>
      </c>
      <c r="E7" s="11">
        <v>3</v>
      </c>
      <c r="F7" s="11">
        <v>3</v>
      </c>
      <c r="G7" s="12">
        <v>1</v>
      </c>
    </row>
    <row r="8" spans="1:7" x14ac:dyDescent="0.45">
      <c r="A8" s="11" t="s">
        <v>87</v>
      </c>
      <c r="B8" s="11">
        <v>1</v>
      </c>
      <c r="C8" s="11">
        <v>1</v>
      </c>
      <c r="D8" s="11">
        <v>1</v>
      </c>
      <c r="E8" s="11">
        <v>3</v>
      </c>
      <c r="F8" s="11">
        <v>3</v>
      </c>
      <c r="G8" s="12">
        <v>1</v>
      </c>
    </row>
    <row r="9" spans="1:7" x14ac:dyDescent="0.45">
      <c r="A9" t="s">
        <v>64</v>
      </c>
      <c r="B9">
        <v>2</v>
      </c>
      <c r="C9">
        <v>1</v>
      </c>
      <c r="D9">
        <v>2</v>
      </c>
      <c r="E9">
        <v>5</v>
      </c>
      <c r="F9">
        <v>6</v>
      </c>
      <c r="G9" s="10">
        <v>0.83333333333333337</v>
      </c>
    </row>
    <row r="10" spans="1:7" x14ac:dyDescent="0.45">
      <c r="A10" t="s">
        <v>91</v>
      </c>
      <c r="B10">
        <v>2</v>
      </c>
      <c r="C10">
        <v>0</v>
      </c>
      <c r="D10">
        <v>1</v>
      </c>
      <c r="E10">
        <v>3</v>
      </c>
      <c r="F10">
        <v>4</v>
      </c>
      <c r="G10" s="10">
        <v>0.75</v>
      </c>
    </row>
    <row r="11" spans="1:7" x14ac:dyDescent="0.45">
      <c r="A11" t="s">
        <v>103</v>
      </c>
      <c r="B11">
        <v>1</v>
      </c>
      <c r="C11">
        <v>2</v>
      </c>
      <c r="D11">
        <v>1</v>
      </c>
      <c r="E11">
        <v>4</v>
      </c>
      <c r="F11">
        <v>6</v>
      </c>
      <c r="G11" s="10">
        <v>0.66666666666666663</v>
      </c>
    </row>
    <row r="12" spans="1:7" x14ac:dyDescent="0.45">
      <c r="A12" t="s">
        <v>99</v>
      </c>
      <c r="B12">
        <v>1</v>
      </c>
      <c r="C12">
        <v>1</v>
      </c>
      <c r="D12">
        <v>0</v>
      </c>
      <c r="E12">
        <v>2</v>
      </c>
      <c r="F12">
        <v>3</v>
      </c>
      <c r="G12" s="10">
        <v>0.66666666666666663</v>
      </c>
    </row>
    <row r="13" spans="1:7" x14ac:dyDescent="0.45">
      <c r="A13" t="s">
        <v>100</v>
      </c>
      <c r="B13">
        <v>0</v>
      </c>
      <c r="C13">
        <v>0</v>
      </c>
      <c r="D13">
        <v>2</v>
      </c>
      <c r="E13">
        <v>2</v>
      </c>
      <c r="F13">
        <v>3</v>
      </c>
      <c r="G13" s="10">
        <v>0.66666666666666663</v>
      </c>
    </row>
    <row r="14" spans="1:7" x14ac:dyDescent="0.45">
      <c r="A14" t="s">
        <v>140</v>
      </c>
      <c r="B14">
        <v>1</v>
      </c>
      <c r="C14">
        <v>1</v>
      </c>
      <c r="D14">
        <v>1</v>
      </c>
      <c r="E14">
        <v>3</v>
      </c>
      <c r="F14">
        <v>6</v>
      </c>
      <c r="G14" s="10">
        <v>0.5</v>
      </c>
    </row>
    <row r="15" spans="1:7" x14ac:dyDescent="0.45">
      <c r="A15" t="s">
        <v>141</v>
      </c>
      <c r="B15">
        <v>0</v>
      </c>
      <c r="C15">
        <v>2</v>
      </c>
      <c r="D15">
        <v>0</v>
      </c>
      <c r="E15">
        <v>2</v>
      </c>
      <c r="F15">
        <v>4</v>
      </c>
      <c r="G15" s="10">
        <v>0.5</v>
      </c>
    </row>
    <row r="16" spans="1:7" x14ac:dyDescent="0.45">
      <c r="A16" t="s">
        <v>86</v>
      </c>
      <c r="B16">
        <v>1</v>
      </c>
      <c r="C16">
        <v>1</v>
      </c>
      <c r="D16">
        <v>1</v>
      </c>
      <c r="E16">
        <v>3</v>
      </c>
      <c r="F16">
        <v>7</v>
      </c>
      <c r="G16" s="10">
        <v>0.42857142857142849</v>
      </c>
    </row>
    <row r="17" spans="1:7" x14ac:dyDescent="0.45">
      <c r="A17" t="s">
        <v>121</v>
      </c>
      <c r="B17">
        <v>0</v>
      </c>
      <c r="C17">
        <v>1</v>
      </c>
      <c r="D17">
        <v>1</v>
      </c>
      <c r="E17">
        <v>2</v>
      </c>
      <c r="F17">
        <v>5</v>
      </c>
      <c r="G17" s="10">
        <v>0.4</v>
      </c>
    </row>
    <row r="18" spans="1:7" x14ac:dyDescent="0.45">
      <c r="A18" t="s">
        <v>37</v>
      </c>
      <c r="B18">
        <v>1</v>
      </c>
      <c r="C18">
        <v>2</v>
      </c>
      <c r="D18">
        <v>1</v>
      </c>
      <c r="E18">
        <v>4</v>
      </c>
      <c r="F18">
        <v>11</v>
      </c>
      <c r="G18" s="10">
        <v>0.36363636363636359</v>
      </c>
    </row>
    <row r="19" spans="1:7" x14ac:dyDescent="0.45">
      <c r="A19" t="s">
        <v>85</v>
      </c>
      <c r="B19">
        <v>3</v>
      </c>
      <c r="C19">
        <v>1</v>
      </c>
      <c r="D19">
        <v>0</v>
      </c>
      <c r="E19">
        <v>4</v>
      </c>
      <c r="F19">
        <v>11</v>
      </c>
      <c r="G19" s="10">
        <v>0.36363636363636359</v>
      </c>
    </row>
    <row r="20" spans="1:7" x14ac:dyDescent="0.45">
      <c r="A20" t="s">
        <v>160</v>
      </c>
      <c r="B20">
        <v>0</v>
      </c>
      <c r="C20">
        <v>0</v>
      </c>
      <c r="D20">
        <v>1</v>
      </c>
      <c r="E20">
        <v>1</v>
      </c>
      <c r="F20">
        <v>3</v>
      </c>
      <c r="G20" s="10">
        <v>0.33333333333333331</v>
      </c>
    </row>
    <row r="21" spans="1:7" x14ac:dyDescent="0.45">
      <c r="A21" t="s">
        <v>21</v>
      </c>
      <c r="B21">
        <v>1</v>
      </c>
      <c r="C21">
        <v>0</v>
      </c>
      <c r="D21">
        <v>0</v>
      </c>
      <c r="E21">
        <v>1</v>
      </c>
      <c r="F21">
        <v>3</v>
      </c>
      <c r="G21" s="10">
        <v>0.33333333333333331</v>
      </c>
    </row>
    <row r="22" spans="1:7" x14ac:dyDescent="0.45">
      <c r="A22" t="s">
        <v>75</v>
      </c>
      <c r="B22">
        <v>2</v>
      </c>
      <c r="C22">
        <v>0</v>
      </c>
      <c r="D22">
        <v>2</v>
      </c>
      <c r="E22">
        <v>4</v>
      </c>
      <c r="F22">
        <v>13</v>
      </c>
      <c r="G22" s="10">
        <v>0.30769230769230771</v>
      </c>
    </row>
    <row r="23" spans="1:7" x14ac:dyDescent="0.45">
      <c r="A23" t="s">
        <v>131</v>
      </c>
      <c r="B23">
        <v>1</v>
      </c>
      <c r="C23">
        <v>1</v>
      </c>
      <c r="D23">
        <v>1</v>
      </c>
      <c r="E23">
        <v>3</v>
      </c>
      <c r="F23">
        <v>10</v>
      </c>
      <c r="G23" s="10">
        <v>0.3</v>
      </c>
    </row>
    <row r="24" spans="1:7" x14ac:dyDescent="0.45">
      <c r="A24" t="s">
        <v>70</v>
      </c>
      <c r="B24">
        <v>1</v>
      </c>
      <c r="C24">
        <v>1</v>
      </c>
      <c r="D24">
        <v>1</v>
      </c>
      <c r="E24">
        <v>3</v>
      </c>
      <c r="F24">
        <v>11</v>
      </c>
      <c r="G24" s="10">
        <v>0.27272727272727271</v>
      </c>
    </row>
    <row r="25" spans="1:7" x14ac:dyDescent="0.45">
      <c r="A25" t="s">
        <v>8</v>
      </c>
      <c r="B25">
        <v>1</v>
      </c>
      <c r="C25">
        <v>2</v>
      </c>
      <c r="D25">
        <v>0</v>
      </c>
      <c r="E25">
        <v>3</v>
      </c>
      <c r="F25">
        <v>12</v>
      </c>
      <c r="G25" s="10">
        <v>0.25</v>
      </c>
    </row>
    <row r="26" spans="1:7" x14ac:dyDescent="0.45">
      <c r="A26" t="s">
        <v>76</v>
      </c>
      <c r="B26">
        <v>0</v>
      </c>
      <c r="C26">
        <v>2</v>
      </c>
      <c r="D26">
        <v>0</v>
      </c>
      <c r="E26">
        <v>2</v>
      </c>
      <c r="F26">
        <v>8</v>
      </c>
      <c r="G26" s="10">
        <v>0.25</v>
      </c>
    </row>
    <row r="27" spans="1:7" x14ac:dyDescent="0.45">
      <c r="A27" t="s">
        <v>144</v>
      </c>
      <c r="B27">
        <v>0</v>
      </c>
      <c r="C27">
        <v>0</v>
      </c>
      <c r="D27">
        <v>1</v>
      </c>
      <c r="E27">
        <v>1</v>
      </c>
      <c r="F27">
        <v>4</v>
      </c>
      <c r="G27" s="10">
        <v>0.25</v>
      </c>
    </row>
    <row r="28" spans="1:7" x14ac:dyDescent="0.45">
      <c r="A28" t="s">
        <v>147</v>
      </c>
      <c r="B28">
        <v>1</v>
      </c>
      <c r="C28">
        <v>0</v>
      </c>
      <c r="D28">
        <v>0</v>
      </c>
      <c r="E28">
        <v>1</v>
      </c>
      <c r="F28">
        <v>4</v>
      </c>
      <c r="G28" s="10">
        <v>0.25</v>
      </c>
    </row>
    <row r="29" spans="1:7" x14ac:dyDescent="0.45">
      <c r="A29" t="s">
        <v>15</v>
      </c>
      <c r="B29">
        <v>1</v>
      </c>
      <c r="C29">
        <v>0</v>
      </c>
      <c r="D29">
        <v>0</v>
      </c>
      <c r="E29">
        <v>1</v>
      </c>
      <c r="F29">
        <v>4</v>
      </c>
      <c r="G29" s="10">
        <v>0.25</v>
      </c>
    </row>
    <row r="30" spans="1:7" x14ac:dyDescent="0.45">
      <c r="A30" t="s">
        <v>55</v>
      </c>
      <c r="B30">
        <v>0</v>
      </c>
      <c r="C30">
        <v>0</v>
      </c>
      <c r="D30">
        <v>2</v>
      </c>
      <c r="E30">
        <v>2</v>
      </c>
      <c r="F30">
        <v>10</v>
      </c>
      <c r="G30" s="10">
        <v>0.2</v>
      </c>
    </row>
    <row r="31" spans="1:7" x14ac:dyDescent="0.45">
      <c r="A31" t="s">
        <v>34</v>
      </c>
      <c r="B31">
        <v>0</v>
      </c>
      <c r="C31">
        <v>1</v>
      </c>
      <c r="D31">
        <v>0</v>
      </c>
      <c r="E31">
        <v>1</v>
      </c>
      <c r="F31">
        <v>5</v>
      </c>
      <c r="G31" s="10">
        <v>0.2</v>
      </c>
    </row>
    <row r="32" spans="1:7" x14ac:dyDescent="0.45">
      <c r="A32" t="s">
        <v>142</v>
      </c>
      <c r="B32">
        <v>0</v>
      </c>
      <c r="C32">
        <v>1</v>
      </c>
      <c r="D32">
        <v>0</v>
      </c>
      <c r="E32">
        <v>1</v>
      </c>
      <c r="F32">
        <v>5</v>
      </c>
      <c r="G32" s="10">
        <v>0.2</v>
      </c>
    </row>
    <row r="33" spans="1:7" x14ac:dyDescent="0.45">
      <c r="A33" t="s">
        <v>109</v>
      </c>
      <c r="B33">
        <v>0</v>
      </c>
      <c r="C33">
        <v>1</v>
      </c>
      <c r="D33">
        <v>1</v>
      </c>
      <c r="E33">
        <v>2</v>
      </c>
      <c r="F33">
        <v>11</v>
      </c>
      <c r="G33" s="10">
        <v>0.1818181818181818</v>
      </c>
    </row>
    <row r="34" spans="1:7" x14ac:dyDescent="0.45">
      <c r="A34" t="s">
        <v>169</v>
      </c>
      <c r="B34">
        <v>1</v>
      </c>
      <c r="C34">
        <v>0</v>
      </c>
      <c r="D34">
        <v>0</v>
      </c>
      <c r="E34">
        <v>1</v>
      </c>
      <c r="F34">
        <v>6</v>
      </c>
      <c r="G34" s="10">
        <v>0.16666666666666671</v>
      </c>
    </row>
    <row r="35" spans="1:7" x14ac:dyDescent="0.45">
      <c r="A35" t="s">
        <v>165</v>
      </c>
      <c r="B35">
        <v>0</v>
      </c>
      <c r="C35">
        <v>1</v>
      </c>
      <c r="D35">
        <v>0</v>
      </c>
      <c r="E35">
        <v>1</v>
      </c>
      <c r="F35">
        <v>7</v>
      </c>
      <c r="G35" s="10">
        <v>0.14285714285714279</v>
      </c>
    </row>
    <row r="36" spans="1:7" x14ac:dyDescent="0.45">
      <c r="A36" t="s">
        <v>114</v>
      </c>
      <c r="B36">
        <v>0</v>
      </c>
      <c r="C36">
        <v>1</v>
      </c>
      <c r="D36">
        <v>0</v>
      </c>
      <c r="E36">
        <v>1</v>
      </c>
      <c r="F36">
        <v>7</v>
      </c>
      <c r="G36" s="10">
        <v>0.14285714285714279</v>
      </c>
    </row>
    <row r="37" spans="1:7" x14ac:dyDescent="0.45">
      <c r="A37" t="s">
        <v>127</v>
      </c>
      <c r="B37">
        <v>1</v>
      </c>
      <c r="C37">
        <v>0</v>
      </c>
      <c r="D37">
        <v>0</v>
      </c>
      <c r="E37">
        <v>1</v>
      </c>
      <c r="F37">
        <v>7</v>
      </c>
      <c r="G37" s="10">
        <v>0.14285714285714279</v>
      </c>
    </row>
    <row r="38" spans="1:7" x14ac:dyDescent="0.45">
      <c r="A38" t="s">
        <v>150</v>
      </c>
      <c r="B38">
        <v>0</v>
      </c>
      <c r="C38">
        <v>1</v>
      </c>
      <c r="D38">
        <v>0</v>
      </c>
      <c r="E38">
        <v>1</v>
      </c>
      <c r="F38">
        <v>7</v>
      </c>
      <c r="G38" s="10">
        <v>0.14285714285714279</v>
      </c>
    </row>
    <row r="39" spans="1:7" x14ac:dyDescent="0.45">
      <c r="A39" t="s">
        <v>153</v>
      </c>
      <c r="B39">
        <v>0</v>
      </c>
      <c r="C39">
        <v>0</v>
      </c>
      <c r="D39">
        <v>1</v>
      </c>
      <c r="E39">
        <v>1</v>
      </c>
      <c r="F39">
        <v>8</v>
      </c>
      <c r="G39" s="10">
        <v>0.125</v>
      </c>
    </row>
    <row r="40" spans="1:7" x14ac:dyDescent="0.45">
      <c r="A40" t="s">
        <v>172</v>
      </c>
      <c r="B40">
        <v>0</v>
      </c>
      <c r="C40">
        <v>0</v>
      </c>
      <c r="D40">
        <v>1</v>
      </c>
      <c r="E40">
        <v>1</v>
      </c>
      <c r="F40">
        <v>9</v>
      </c>
      <c r="G40" s="10">
        <v>0.1111111111111111</v>
      </c>
    </row>
    <row r="41" spans="1:7" x14ac:dyDescent="0.45">
      <c r="A41" t="s">
        <v>51</v>
      </c>
      <c r="B41">
        <v>0</v>
      </c>
      <c r="C41">
        <v>1</v>
      </c>
      <c r="D41">
        <v>0</v>
      </c>
      <c r="E41">
        <v>1</v>
      </c>
      <c r="F41">
        <v>10</v>
      </c>
      <c r="G41" s="10">
        <v>0.1</v>
      </c>
    </row>
    <row r="42" spans="1:7" x14ac:dyDescent="0.45">
      <c r="A42" t="s">
        <v>108</v>
      </c>
      <c r="B42">
        <v>1</v>
      </c>
      <c r="C42">
        <v>0</v>
      </c>
      <c r="D42">
        <v>0</v>
      </c>
      <c r="E42">
        <v>1</v>
      </c>
      <c r="F42">
        <v>10</v>
      </c>
      <c r="G42" s="10">
        <v>0.1</v>
      </c>
    </row>
    <row r="43" spans="1:7" x14ac:dyDescent="0.45">
      <c r="A43" t="s">
        <v>81</v>
      </c>
      <c r="B43">
        <v>1</v>
      </c>
      <c r="C43">
        <v>0</v>
      </c>
      <c r="D43">
        <v>0</v>
      </c>
      <c r="E43">
        <v>1</v>
      </c>
      <c r="F43">
        <v>11</v>
      </c>
      <c r="G43" s="10">
        <v>9.0909090909090912E-2</v>
      </c>
    </row>
    <row r="44" spans="1:7" x14ac:dyDescent="0.45">
      <c r="A44" t="s">
        <v>60</v>
      </c>
      <c r="B44">
        <v>0</v>
      </c>
      <c r="C44">
        <v>1</v>
      </c>
      <c r="D44">
        <v>0</v>
      </c>
      <c r="E44">
        <v>1</v>
      </c>
      <c r="F44">
        <v>12</v>
      </c>
      <c r="G44" s="10">
        <v>8.3333333333333329E-2</v>
      </c>
    </row>
    <row r="45" spans="1:7" x14ac:dyDescent="0.45">
      <c r="A45" t="s">
        <v>188</v>
      </c>
      <c r="B45">
        <v>0</v>
      </c>
      <c r="C45">
        <v>0</v>
      </c>
      <c r="D45">
        <v>0</v>
      </c>
      <c r="E45">
        <v>0</v>
      </c>
      <c r="F45">
        <v>9</v>
      </c>
      <c r="G45" s="10">
        <v>0</v>
      </c>
    </row>
    <row r="46" spans="1:7" x14ac:dyDescent="0.45">
      <c r="A46" t="s">
        <v>191</v>
      </c>
      <c r="B46">
        <v>0</v>
      </c>
      <c r="C46">
        <v>0</v>
      </c>
      <c r="D46">
        <v>0</v>
      </c>
      <c r="E46">
        <v>0</v>
      </c>
      <c r="F46">
        <v>7</v>
      </c>
      <c r="G46" s="10">
        <v>0</v>
      </c>
    </row>
    <row r="47" spans="1:7" x14ac:dyDescent="0.45">
      <c r="A47" t="s">
        <v>189</v>
      </c>
      <c r="B47">
        <v>0</v>
      </c>
      <c r="C47">
        <v>0</v>
      </c>
      <c r="D47">
        <v>0</v>
      </c>
      <c r="E47">
        <v>0</v>
      </c>
      <c r="F47">
        <v>7</v>
      </c>
      <c r="G47" s="10">
        <v>0</v>
      </c>
    </row>
    <row r="48" spans="1:7" x14ac:dyDescent="0.45">
      <c r="A48" t="s">
        <v>210</v>
      </c>
      <c r="B48">
        <v>0</v>
      </c>
      <c r="C48">
        <v>0</v>
      </c>
      <c r="D48">
        <v>0</v>
      </c>
      <c r="E48">
        <v>0</v>
      </c>
      <c r="F48">
        <v>7</v>
      </c>
      <c r="G48" s="10">
        <v>0</v>
      </c>
    </row>
    <row r="49" spans="1:7" x14ac:dyDescent="0.45">
      <c r="A49" t="s">
        <v>190</v>
      </c>
      <c r="B49">
        <v>0</v>
      </c>
      <c r="C49">
        <v>0</v>
      </c>
      <c r="D49">
        <v>0</v>
      </c>
      <c r="E49">
        <v>0</v>
      </c>
      <c r="F49">
        <v>7</v>
      </c>
      <c r="G49" s="10">
        <v>0</v>
      </c>
    </row>
    <row r="50" spans="1:7" x14ac:dyDescent="0.45">
      <c r="A50" t="s">
        <v>193</v>
      </c>
      <c r="B50">
        <v>0</v>
      </c>
      <c r="C50">
        <v>0</v>
      </c>
      <c r="D50">
        <v>0</v>
      </c>
      <c r="E50">
        <v>0</v>
      </c>
      <c r="F50">
        <v>6</v>
      </c>
      <c r="G50" s="10">
        <v>0</v>
      </c>
    </row>
    <row r="51" spans="1:7" x14ac:dyDescent="0.45">
      <c r="A51" t="s">
        <v>198</v>
      </c>
      <c r="B51">
        <v>0</v>
      </c>
      <c r="C51">
        <v>0</v>
      </c>
      <c r="D51">
        <v>0</v>
      </c>
      <c r="E51">
        <v>0</v>
      </c>
      <c r="F51">
        <v>6</v>
      </c>
      <c r="G51" s="10">
        <v>0</v>
      </c>
    </row>
    <row r="52" spans="1:7" x14ac:dyDescent="0.45">
      <c r="A52" t="s">
        <v>194</v>
      </c>
      <c r="B52">
        <v>0</v>
      </c>
      <c r="C52">
        <v>0</v>
      </c>
      <c r="D52">
        <v>0</v>
      </c>
      <c r="E52">
        <v>0</v>
      </c>
      <c r="F52">
        <v>6</v>
      </c>
      <c r="G52" s="10">
        <v>0</v>
      </c>
    </row>
    <row r="53" spans="1:7" x14ac:dyDescent="0.45">
      <c r="A53" t="s">
        <v>200</v>
      </c>
      <c r="B53">
        <v>0</v>
      </c>
      <c r="C53">
        <v>0</v>
      </c>
      <c r="D53">
        <v>0</v>
      </c>
      <c r="E53">
        <v>0</v>
      </c>
      <c r="F53">
        <v>6</v>
      </c>
      <c r="G53" s="10">
        <v>0</v>
      </c>
    </row>
    <row r="54" spans="1:7" x14ac:dyDescent="0.45">
      <c r="A54" t="s">
        <v>192</v>
      </c>
      <c r="B54">
        <v>0</v>
      </c>
      <c r="C54">
        <v>0</v>
      </c>
      <c r="D54">
        <v>0</v>
      </c>
      <c r="E54">
        <v>0</v>
      </c>
      <c r="F54">
        <v>5</v>
      </c>
      <c r="G54" s="10">
        <v>0</v>
      </c>
    </row>
    <row r="55" spans="1:7" x14ac:dyDescent="0.45">
      <c r="A55" t="s">
        <v>224</v>
      </c>
      <c r="B55">
        <v>0</v>
      </c>
      <c r="C55">
        <v>0</v>
      </c>
      <c r="D55">
        <v>0</v>
      </c>
      <c r="E55">
        <v>0</v>
      </c>
      <c r="F55">
        <v>5</v>
      </c>
      <c r="G55" s="10">
        <v>0</v>
      </c>
    </row>
    <row r="56" spans="1:7" x14ac:dyDescent="0.45">
      <c r="A56" t="s">
        <v>195</v>
      </c>
      <c r="B56">
        <v>0</v>
      </c>
      <c r="C56">
        <v>0</v>
      </c>
      <c r="D56">
        <v>0</v>
      </c>
      <c r="E56">
        <v>0</v>
      </c>
      <c r="F56">
        <v>5</v>
      </c>
      <c r="G56" s="10">
        <v>0</v>
      </c>
    </row>
    <row r="57" spans="1:7" x14ac:dyDescent="0.45">
      <c r="A57" t="s">
        <v>196</v>
      </c>
      <c r="B57">
        <v>0</v>
      </c>
      <c r="C57">
        <v>0</v>
      </c>
      <c r="D57">
        <v>0</v>
      </c>
      <c r="E57">
        <v>0</v>
      </c>
      <c r="F57">
        <v>5</v>
      </c>
      <c r="G57" s="10">
        <v>0</v>
      </c>
    </row>
    <row r="58" spans="1:7" x14ac:dyDescent="0.45">
      <c r="A58" t="s">
        <v>197</v>
      </c>
      <c r="B58">
        <v>0</v>
      </c>
      <c r="C58">
        <v>0</v>
      </c>
      <c r="D58">
        <v>0</v>
      </c>
      <c r="E58">
        <v>0</v>
      </c>
      <c r="F58">
        <v>5</v>
      </c>
      <c r="G58" s="10">
        <v>0</v>
      </c>
    </row>
    <row r="59" spans="1:7" x14ac:dyDescent="0.45">
      <c r="A59" t="s">
        <v>203</v>
      </c>
      <c r="B59">
        <v>0</v>
      </c>
      <c r="C59">
        <v>0</v>
      </c>
      <c r="D59">
        <v>0</v>
      </c>
      <c r="E59">
        <v>0</v>
      </c>
      <c r="F59">
        <v>4</v>
      </c>
      <c r="G59" s="10">
        <v>0</v>
      </c>
    </row>
    <row r="60" spans="1:7" x14ac:dyDescent="0.45">
      <c r="A60" t="s">
        <v>204</v>
      </c>
      <c r="B60">
        <v>0</v>
      </c>
      <c r="C60">
        <v>0</v>
      </c>
      <c r="D60">
        <v>0</v>
      </c>
      <c r="E60">
        <v>0</v>
      </c>
      <c r="F60">
        <v>4</v>
      </c>
      <c r="G60" s="10">
        <v>0</v>
      </c>
    </row>
    <row r="61" spans="1:7" x14ac:dyDescent="0.45">
      <c r="A61" t="s">
        <v>219</v>
      </c>
      <c r="B61">
        <v>0</v>
      </c>
      <c r="C61">
        <v>0</v>
      </c>
      <c r="D61">
        <v>0</v>
      </c>
      <c r="E61">
        <v>0</v>
      </c>
      <c r="F61">
        <v>4</v>
      </c>
      <c r="G61" s="10">
        <v>0</v>
      </c>
    </row>
    <row r="62" spans="1:7" x14ac:dyDescent="0.45">
      <c r="A62" t="s">
        <v>199</v>
      </c>
      <c r="B62">
        <v>0</v>
      </c>
      <c r="C62">
        <v>0</v>
      </c>
      <c r="D62">
        <v>0</v>
      </c>
      <c r="E62">
        <v>0</v>
      </c>
      <c r="F62">
        <v>4</v>
      </c>
      <c r="G62" s="10">
        <v>0</v>
      </c>
    </row>
    <row r="63" spans="1:7" x14ac:dyDescent="0.45">
      <c r="A63" t="s">
        <v>231</v>
      </c>
      <c r="B63">
        <v>0</v>
      </c>
      <c r="C63">
        <v>0</v>
      </c>
      <c r="D63">
        <v>0</v>
      </c>
      <c r="E63">
        <v>0</v>
      </c>
      <c r="F63">
        <v>4</v>
      </c>
      <c r="G63" s="10">
        <v>0</v>
      </c>
    </row>
    <row r="64" spans="1:7" x14ac:dyDescent="0.45">
      <c r="A64" t="s">
        <v>232</v>
      </c>
      <c r="B64">
        <v>0</v>
      </c>
      <c r="C64">
        <v>0</v>
      </c>
      <c r="D64">
        <v>0</v>
      </c>
      <c r="E64">
        <v>0</v>
      </c>
      <c r="F64">
        <v>4</v>
      </c>
      <c r="G64" s="10">
        <v>0</v>
      </c>
    </row>
    <row r="65" spans="1:7" x14ac:dyDescent="0.45">
      <c r="A65" t="s">
        <v>212</v>
      </c>
      <c r="B65">
        <v>0</v>
      </c>
      <c r="C65">
        <v>0</v>
      </c>
      <c r="D65">
        <v>0</v>
      </c>
      <c r="E65">
        <v>0</v>
      </c>
      <c r="F65">
        <v>4</v>
      </c>
      <c r="G65" s="10">
        <v>0</v>
      </c>
    </row>
    <row r="66" spans="1:7" x14ac:dyDescent="0.45">
      <c r="A66" t="s">
        <v>201</v>
      </c>
      <c r="B66">
        <v>0</v>
      </c>
      <c r="C66">
        <v>0</v>
      </c>
      <c r="D66">
        <v>0</v>
      </c>
      <c r="E66">
        <v>0</v>
      </c>
      <c r="F66">
        <v>4</v>
      </c>
      <c r="G66" s="10">
        <v>0</v>
      </c>
    </row>
    <row r="67" spans="1:7" x14ac:dyDescent="0.45">
      <c r="A67" t="s">
        <v>202</v>
      </c>
      <c r="B67">
        <v>0</v>
      </c>
      <c r="C67">
        <v>0</v>
      </c>
      <c r="D67">
        <v>0</v>
      </c>
      <c r="E67">
        <v>0</v>
      </c>
      <c r="F67">
        <v>4</v>
      </c>
      <c r="G67" s="10">
        <v>0</v>
      </c>
    </row>
    <row r="68" spans="1:7" x14ac:dyDescent="0.45">
      <c r="A68" t="s">
        <v>213</v>
      </c>
      <c r="B68">
        <v>0</v>
      </c>
      <c r="C68">
        <v>0</v>
      </c>
      <c r="D68">
        <v>0</v>
      </c>
      <c r="E68">
        <v>0</v>
      </c>
      <c r="F68">
        <v>4</v>
      </c>
      <c r="G68" s="10">
        <v>0</v>
      </c>
    </row>
    <row r="69" spans="1:7" x14ac:dyDescent="0.45">
      <c r="A69" t="s">
        <v>218</v>
      </c>
      <c r="B69">
        <v>0</v>
      </c>
      <c r="C69">
        <v>0</v>
      </c>
      <c r="D69">
        <v>0</v>
      </c>
      <c r="E69">
        <v>0</v>
      </c>
      <c r="F69">
        <v>3</v>
      </c>
      <c r="G69" s="10">
        <v>0</v>
      </c>
    </row>
    <row r="70" spans="1:7" x14ac:dyDescent="0.45">
      <c r="A70" t="s">
        <v>205</v>
      </c>
      <c r="B70">
        <v>0</v>
      </c>
      <c r="C70">
        <v>0</v>
      </c>
      <c r="D70">
        <v>0</v>
      </c>
      <c r="E70">
        <v>0</v>
      </c>
      <c r="F70">
        <v>3</v>
      </c>
      <c r="G70" s="10">
        <v>0</v>
      </c>
    </row>
    <row r="71" spans="1:7" x14ac:dyDescent="0.45">
      <c r="A71" t="s">
        <v>206</v>
      </c>
      <c r="B71">
        <v>0</v>
      </c>
      <c r="C71">
        <v>0</v>
      </c>
      <c r="D71">
        <v>0</v>
      </c>
      <c r="E71">
        <v>0</v>
      </c>
      <c r="F71">
        <v>3</v>
      </c>
      <c r="G71" s="10">
        <v>0</v>
      </c>
    </row>
    <row r="72" spans="1:7" x14ac:dyDescent="0.45">
      <c r="A72" t="s">
        <v>223</v>
      </c>
      <c r="B72">
        <v>0</v>
      </c>
      <c r="C72">
        <v>0</v>
      </c>
      <c r="D72">
        <v>0</v>
      </c>
      <c r="E72">
        <v>0</v>
      </c>
      <c r="F72">
        <v>3</v>
      </c>
      <c r="G72" s="10">
        <v>0</v>
      </c>
    </row>
    <row r="73" spans="1:7" x14ac:dyDescent="0.45">
      <c r="A73" t="s">
        <v>207</v>
      </c>
      <c r="B73">
        <v>0</v>
      </c>
      <c r="C73">
        <v>0</v>
      </c>
      <c r="D73">
        <v>0</v>
      </c>
      <c r="E73">
        <v>0</v>
      </c>
      <c r="F73">
        <v>3</v>
      </c>
      <c r="G73" s="10">
        <v>0</v>
      </c>
    </row>
    <row r="74" spans="1:7" x14ac:dyDescent="0.45">
      <c r="A74" t="s">
        <v>55</v>
      </c>
      <c r="B74">
        <v>0</v>
      </c>
      <c r="C74">
        <v>0</v>
      </c>
      <c r="D74">
        <v>0</v>
      </c>
      <c r="E74">
        <v>0</v>
      </c>
      <c r="F74">
        <v>3</v>
      </c>
      <c r="G74" s="10">
        <v>0</v>
      </c>
    </row>
    <row r="75" spans="1:7" x14ac:dyDescent="0.45">
      <c r="A75" t="s">
        <v>228</v>
      </c>
      <c r="B75">
        <v>0</v>
      </c>
      <c r="C75">
        <v>0</v>
      </c>
      <c r="D75">
        <v>0</v>
      </c>
      <c r="E75">
        <v>0</v>
      </c>
      <c r="F75">
        <v>3</v>
      </c>
      <c r="G75" s="10">
        <v>0</v>
      </c>
    </row>
    <row r="76" spans="1:7" x14ac:dyDescent="0.45">
      <c r="A76" t="s">
        <v>208</v>
      </c>
      <c r="B76">
        <v>0</v>
      </c>
      <c r="C76">
        <v>0</v>
      </c>
      <c r="D76">
        <v>0</v>
      </c>
      <c r="E76">
        <v>0</v>
      </c>
      <c r="F76">
        <v>3</v>
      </c>
      <c r="G76" s="10">
        <v>0</v>
      </c>
    </row>
    <row r="77" spans="1:7" x14ac:dyDescent="0.45">
      <c r="A77" t="s">
        <v>209</v>
      </c>
      <c r="B77">
        <v>0</v>
      </c>
      <c r="C77">
        <v>0</v>
      </c>
      <c r="D77">
        <v>0</v>
      </c>
      <c r="E77">
        <v>0</v>
      </c>
      <c r="F77">
        <v>3</v>
      </c>
      <c r="G77" s="10">
        <v>0</v>
      </c>
    </row>
    <row r="78" spans="1:7" x14ac:dyDescent="0.45">
      <c r="A78" t="s">
        <v>211</v>
      </c>
      <c r="B78">
        <v>0</v>
      </c>
      <c r="C78">
        <v>0</v>
      </c>
      <c r="D78">
        <v>0</v>
      </c>
      <c r="E78">
        <v>0</v>
      </c>
      <c r="F78">
        <v>3</v>
      </c>
      <c r="G78" s="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usa_medal_detail</vt:lpstr>
      <vt:lpstr>usa_medal_by_category</vt:lpstr>
      <vt:lpstr>usa_medal_by_host</vt:lpstr>
      <vt:lpstr>countries_per_usa_athlete</vt:lpstr>
      <vt:lpstr>countries_total_usa</vt:lpstr>
      <vt:lpstr>usa_medal_tally</vt:lpstr>
      <vt:lpstr>usa_podium_conversion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High</cp:lastModifiedBy>
  <dcterms:created xsi:type="dcterms:W3CDTF">2025-12-16T13:44:07Z</dcterms:created>
  <dcterms:modified xsi:type="dcterms:W3CDTF">2025-12-16T13:55:19Z</dcterms:modified>
</cp:coreProperties>
</file>